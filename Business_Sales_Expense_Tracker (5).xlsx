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duct List" sheetId="2" state="visible" r:id="rId4"/>
    <sheet name="Sales Entry" sheetId="3" state="visible" r:id="rId5"/>
    <sheet name="Expense Entr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<sst xmlns="http://schemas.openxmlformats.org/spreadsheetml/2006/main" count="103" uniqueCount="81">
  <si>
    <t xml:space="preserve">Business Sales &amp; Expense Tracker</t>
  </si>
  <si>
    <t xml:space="preserve">Auto-calculating dashboard — just enter your data, everything else updates itself</t>
  </si>
  <si>
    <t xml:space="preserve">How to use this sheet</t>
  </si>
  <si>
    <t xml:space="preserve">1. Go to the 'Sales Entry' tab and add one row per sale (date, product, quantity, price).</t>
  </si>
  <si>
    <t xml:space="preserve">2. Go to the 'Expense Entry' tab and add one row per expense (date, category, amount).</t>
  </si>
  <si>
    <t xml:space="preserve">3. Open the 'Dashboard' tab — totals, profit, and monthly summary update automatically.</t>
  </si>
  <si>
    <t xml:space="preserve">4. Do not edit cells with black formula text (columns marked 'Auto') — they calculate on their own.</t>
  </si>
  <si>
    <t xml:space="preserve">5. Only type in cells shown in blue — those are your input cells.</t>
  </si>
  <si>
    <t xml:space="preserve">Tips</t>
  </si>
  <si>
    <t xml:space="preserve">- Use the dropdown in the Category column to keep expense names consistent.</t>
  </si>
  <si>
    <t xml:space="preserve">- The Dashboard automatically pulls the latest numbers — no manual updating needed.</t>
  </si>
  <si>
    <t xml:space="preserve">- You can add as many rows as you like; formulas are already extended to row 500.</t>
  </si>
  <si>
    <t xml:space="preserve">6. Add your product names &amp; prices in the 'Product List' tab — this powers the dropdown in Sales Entry.</t>
  </si>
  <si>
    <t xml:space="preserve">7. In Sales Entry, click the Product Name cell and pick from the dropdown instead of typing.</t>
  </si>
  <si>
    <t xml:space="preserve">8. Check Dashboard (right side) for Today's Sales and All-Time Product Totals — updates automatically.</t>
  </si>
  <si>
    <t xml:space="preserve">9. Want to track something extra (customer name, payment mode, notes)? Use the 'Custom Field'</t>
  </si>
  <si>
    <t xml:space="preserve">   column already added in Sales Entry / Expense Entry — just rename the header in row 1 and fill it in.</t>
  </si>
  <si>
    <t xml:space="preserve">   This column is safe to edit and won't break any formulas.</t>
  </si>
  <si>
    <t xml:space="preserve">10. Dashboard now shows auto-insights (top seller, highest expense, profit status) and two charts —</t>
  </si>
  <si>
    <t xml:space="preserve">    a monthly sales bar chart and an expense category pie chart. Both update automatically.</t>
  </si>
  <si>
    <t xml:space="preserve">Product Name</t>
  </si>
  <si>
    <t xml:space="preserve">Default Price (₹)</t>
  </si>
  <si>
    <t xml:space="preserve">Add your product names &amp; prices here.</t>
  </si>
  <si>
    <t xml:space="preserve">Notebook Set</t>
  </si>
  <si>
    <t xml:space="preserve">This list feeds the dropdown in Sales Entry.</t>
  </si>
  <si>
    <t xml:space="preserve">Water Bottle</t>
  </si>
  <si>
    <t xml:space="preserve">Backpack</t>
  </si>
  <si>
    <t xml:space="preserve">Pen Pack</t>
  </si>
  <si>
    <t xml:space="preserve">Date</t>
  </si>
  <si>
    <t xml:space="preserve">Quantity Sold</t>
  </si>
  <si>
    <t xml:space="preserve">Price per Unit (₹)</t>
  </si>
  <si>
    <t xml:space="preserve">Total Sale (₹) [Auto]</t>
  </si>
  <si>
    <t xml:space="preserve">Custom Field (optional)</t>
  </si>
  <si>
    <t xml:space="preserve">Category</t>
  </si>
  <si>
    <t xml:space="preserve">Description</t>
  </si>
  <si>
    <t xml:space="preserve">Amount (₹)</t>
  </si>
  <si>
    <t xml:space="preserve">Rent</t>
  </si>
  <si>
    <t xml:space="preserve">Shop monthly rent</t>
  </si>
  <si>
    <t xml:space="preserve">Inventory/Stock</t>
  </si>
  <si>
    <t xml:space="preserve">Stock purchase - notebooks</t>
  </si>
  <si>
    <t xml:space="preserve">Marketing</t>
  </si>
  <si>
    <t xml:space="preserve">Instagram promotion</t>
  </si>
  <si>
    <t xml:space="preserve">Utilities</t>
  </si>
  <si>
    <t xml:space="preserve">Electricity bill</t>
  </si>
  <si>
    <t xml:space="preserve">Transport</t>
  </si>
  <si>
    <t xml:space="preserve">Delivery charges</t>
  </si>
  <si>
    <t xml:space="preserve">Business Dashboard</t>
  </si>
  <si>
    <t xml:space="preserve">Today's Sales Snapshot</t>
  </si>
  <si>
    <t xml:space="preserve">Auto-updates from Sales Entry and Expense Entry tabs</t>
  </si>
  <si>
    <t xml:space="preserve">Total Sales (₹)</t>
  </si>
  <si>
    <t xml:space="preserve">Product</t>
  </si>
  <si>
    <t xml:space="preserve">Qty Sold Today</t>
  </si>
  <si>
    <t xml:space="preserve">Revenue Today (₹)</t>
  </si>
  <si>
    <t xml:space="preserve">Total Expenses (₹)</t>
  </si>
  <si>
    <t xml:space="preserve">Net Profit (₹)</t>
  </si>
  <si>
    <t xml:space="preserve">Profit Margin (%)</t>
  </si>
  <si>
    <t xml:space="preserve">Key Insights (Auto-Updates)</t>
  </si>
  <si>
    <t xml:space="preserve">Expense Breakdown by Category</t>
  </si>
  <si>
    <t xml:space="preserve">Monthly Sales Summary</t>
  </si>
  <si>
    <t xml:space="preserve">Total (₹)</t>
  </si>
  <si>
    <t xml:space="preserve">Month</t>
  </si>
  <si>
    <t xml:space="preserve">Sales (₹)</t>
  </si>
  <si>
    <t xml:space="preserve">Jan</t>
  </si>
  <si>
    <t xml:space="preserve">Salaries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</si>
  <si>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</si>
  <si>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</si>
  <si>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</si>
  <si>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</si>
  <si>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</si>
  <si>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Maintenance</t>
  </si>
  <si>
    <t xml:space="preserve">Jul</t>
  </si>
  <si>
    <t xml:space="preserve">Other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</si>
  <si>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</si>
  <si>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</si>
  <si>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</si>
  <si>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</si>
  <si>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</si>
  <si>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Today</t>
  </si>
  <si>
    <t xml:space="preserve">All-Time Product Totals</t>
  </si>
  <si>
    <t xml:space="preserve">Total Qty Sold</t>
  </si>
  <si>
    <t xml:space="preserve">Total Revenue (₹)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</si>
</sst>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dd\-mmm\-yyyy"/>
    <numFmt numFmtId="167" formatCode="0.0%"/>
    <numFmt numFmtId="168" formatCode="\₹#,##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3A9CE"/>
      <rgbColor rgb="FFAB4744"/>
      <rgbColor rgb="FFFFF2CC"/>
      <rgbColor rgb="FFD9E2F3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B3B3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Dashboard!F15</c:f>
              <c:strCache>
                <c:ptCount val="1"/>
                <c:pt idx="0">
                  <c:v>Sales (₹)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Dashboard!$E$16:$E$27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Dashboard!$F$16:$F$27</c:f>
              <c:numCache>
                <c:formatCode>\₹#,##0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7800</c:v>
                </c:pt>
                <c:pt idx="6">
                  <c:v>7200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0269871"/>
        <c:axId val="14993024"/>
      </c:barChart>
      <c:catAx>
        <c:axId val="20269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93024"/>
        <c:crosses val="autoZero"/>
        <c:auto val="1"/>
        <c:lblAlgn val="ctr"/>
        <c:lblOffset val="100"/>
        <c:noMultiLvlLbl val="0"/>
      </c:catAx>
      <c:valAx>
        <c:axId val="149930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69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Dashboard!C15</c:f>
              <c:strCache>
                <c:ptCount val="1"/>
                <c:pt idx="0">
                  <c:v>Total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Dashboard!$B$16:$B$23</c:f>
              <c:strCache>
                <c:ptCount val="8"/>
                <c:pt idx="0">
                  <c:v>Rent</c:v>
                </c:pt>
                <c:pt idx="1">
                  <c:v>Salaries</c:v>
                </c:pt>
                <c:pt idx="2">
                  <c:v>Inventory/Stock</c:v>
                </c:pt>
                <c:pt idx="3">
                  <c:v>Utilities</c:v>
                </c:pt>
                <c:pt idx="4">
                  <c:v>Marketing</c:v>
                </c:pt>
                <c:pt idx="5">
                  <c:v>Transport</c:v>
                </c:pt>
                <c:pt idx="6">
                  <c:v>Maintenance</c:v>
                </c:pt>
                <c:pt idx="7">
                  <c:v>Other</c:v>
                </c:pt>
              </c:strCache>
            </c:strRef>
          </c:cat>
          <c:val>
            <c:numRef>
              <c:f>Dashboard!$C$16:$C$23</c:f>
              <c:numCache>
                <c:formatCode>\₹#,##0</c:formatCode>
                <c:ptCount val="8"/>
                <c:pt idx="0">
                  <c:v>10000</c:v>
                </c:pt>
                <c:pt idx="1">
                  <c:v>0</c:v>
                </c:pt>
                <c:pt idx="2">
                  <c:v>3000</c:v>
                </c:pt>
                <c:pt idx="3">
                  <c:v>1200</c:v>
                </c:pt>
                <c:pt idx="4">
                  <c:v>800</c:v>
                </c:pt>
                <c:pt idx="5">
                  <c:v>600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5</xdr:col>
      <xdr:colOff>276840</xdr:colOff>
      <xdr:row>43</xdr:row>
      <xdr:rowOff>50760</xdr:rowOff>
    </xdr:to>
    <xdr:graphicFrame>
      <xdr:nvGraphicFramePr>
        <xdr:cNvPr id="0" name="Chart 1"/>
        <xdr:cNvGraphicFramePr/>
      </xdr:nvGraphicFramePr>
      <xdr:xfrm>
        <a:off x="281880" y="57722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3</xdr:col>
      <xdr:colOff>1218240</xdr:colOff>
      <xdr:row>64</xdr:row>
      <xdr:rowOff>22320</xdr:rowOff>
    </xdr:to>
    <xdr:graphicFrame>
      <xdr:nvGraphicFramePr>
        <xdr:cNvPr id="1" name="Chart 2"/>
        <xdr:cNvGraphicFramePr/>
      </xdr:nvGraphicFramePr>
      <xdr:xfrm>
        <a:off x="281880" y="9744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/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5" t="s">
        <v>9</v>
      </c>
    </row>
    <row r="14" customFormat="false" ht="1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5" t="s">
        <v>11</v>
      </c>
    </row>
    <row r="17" customFormat="false" ht="15" hidden="false" customHeight="true" outlineLevel="0" collapsed="false">
      <c r="B17" s="5" t="s">
        <v>12</v>
      </c>
    </row>
    <row r="18" customFormat="false" ht="1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5" t="s">
        <v>14</v>
      </c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6" t="s">
        <v>16</v>
      </c>
    </row>
    <row r="23" customFormat="false" ht="15" hidden="false" customHeight="false" outlineLevel="0" collapsed="false">
      <c r="B23" s="6" t="s">
        <v>17</v>
      </c>
    </row>
    <row r="24" customFormat="false" ht="15" hidden="false" customHeight="false" outlineLevel="0" collapsed="false">
      <c r="B24" s="6" t="s">
        <v>18</v>
      </c>
    </row>
    <row r="25" customFormat="false" ht="15" hidden="false" customHeight="false" outlineLevel="0" collapsed="false">
      <c r="B25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</cols>
  <sheetData>
    <row r="1" customFormat="false" ht="25.5" hidden="false" customHeight="true" outlineLevel="0" collapsed="false">
      <c r="A1" s="7" t="s">
        <v>20</v>
      </c>
      <c r="B1" s="7" t="s">
        <v>21</v>
      </c>
      <c r="D1" s="3" t="s">
        <v>22</v>
      </c>
    </row>
    <row r="2" customFormat="false" ht="15" hidden="false" customHeight="true" outlineLevel="0" collapsed="false">
      <c r="A2" s="8" t="s">
        <v>23</v>
      </c>
      <c r="B2" s="9" t="n">
        <v>150</v>
      </c>
      <c r="D2" s="3" t="s">
        <v>24</v>
      </c>
    </row>
    <row r="3" customFormat="false" ht="15" hidden="false" customHeight="true" outlineLevel="0" collapsed="false">
      <c r="A3" s="8" t="s">
        <v>25</v>
      </c>
      <c r="B3" s="9" t="n">
        <v>250</v>
      </c>
    </row>
    <row r="4" customFormat="false" ht="15" hidden="false" customHeight="true" outlineLevel="0" collapsed="false">
      <c r="A4" s="8" t="s">
        <v>26</v>
      </c>
      <c r="B4" s="9" t="n">
        <v>900</v>
      </c>
    </row>
    <row r="5" customFormat="false" ht="15" hidden="false" customHeight="true" outlineLevel="0" collapsed="false">
      <c r="A5" s="8" t="s">
        <v>27</v>
      </c>
      <c r="B5" s="9" t="n">
        <v>60</v>
      </c>
    </row>
    <row r="6" customFormat="false" ht="15" hidden="false" customHeight="true" outlineLevel="0" collapsed="false">
      <c r="A6" s="8"/>
      <c r="B6" s="9"/>
    </row>
    <row r="7" customFormat="false" ht="15" hidden="false" customHeight="true" outlineLevel="0" collapsed="false">
      <c r="A7" s="8"/>
      <c r="B7" s="9"/>
    </row>
    <row r="8" customFormat="false" ht="15" hidden="false" customHeight="true" outlineLevel="0" collapsed="false">
      <c r="A8" s="8"/>
      <c r="B8" s="9"/>
    </row>
    <row r="9" customFormat="false" ht="15" hidden="false" customHeight="true" outlineLevel="0" collapsed="false">
      <c r="A9" s="8"/>
      <c r="B9" s="9"/>
    </row>
    <row r="10" customFormat="false" ht="15" hidden="false" customHeight="true" outlineLevel="0" collapsed="false">
      <c r="A10" s="8"/>
      <c r="B10" s="9"/>
    </row>
    <row r="11" customFormat="false" ht="15" hidden="false" customHeight="true" outlineLevel="0" collapsed="false">
      <c r="A11" s="8"/>
      <c r="B11" s="9"/>
    </row>
    <row r="12" customFormat="false" ht="15" hidden="false" customHeight="true" outlineLevel="0" collapsed="false">
      <c r="A12" s="8"/>
      <c r="B12" s="9"/>
    </row>
    <row r="13" customFormat="false" ht="15" hidden="false" customHeight="true" outlineLevel="0" collapsed="false">
      <c r="A13" s="8"/>
      <c r="B13" s="9"/>
    </row>
    <row r="14" customFormat="false" ht="15" hidden="false" customHeight="true" outlineLevel="0" collapsed="false">
      <c r="A14" s="8"/>
      <c r="B14" s="9"/>
    </row>
    <row r="15" customFormat="false" ht="15" hidden="false" customHeight="true" outlineLevel="0" collapsed="false">
      <c r="A15" s="8"/>
      <c r="B15" s="9"/>
    </row>
    <row r="16" customFormat="false" ht="15" hidden="false" customHeight="true" outlineLevel="0" collapsed="false">
      <c r="A16" s="8"/>
      <c r="B16" s="9"/>
    </row>
    <row r="17" customFormat="false" ht="15" hidden="false" customHeight="true" outlineLevel="0" collapsed="false">
      <c r="A17" s="8"/>
      <c r="B17" s="9"/>
    </row>
    <row r="18" customFormat="false" ht="15" hidden="false" customHeight="true" outlineLevel="0" collapsed="false">
      <c r="A18" s="8"/>
      <c r="B18" s="9"/>
    </row>
    <row r="19" customFormat="false" ht="15" hidden="false" customHeight="true" outlineLevel="0" collapsed="false">
      <c r="A19" s="8"/>
      <c r="B19" s="9"/>
    </row>
    <row r="20" customFormat="false" ht="15" hidden="false" customHeight="true" outlineLevel="0" collapsed="false">
      <c r="A20" s="8"/>
      <c r="B20" s="9"/>
    </row>
    <row r="21" customFormat="false" ht="15" hidden="false" customHeight="true" outlineLevel="0" collapsed="false">
      <c r="A21" s="8"/>
      <c r="B21" s="9"/>
    </row>
    <row r="22" customFormat="false" ht="15" hidden="false" customHeight="true" outlineLevel="0" collapsed="false">
      <c r="A22" s="8"/>
      <c r="B22" s="9"/>
    </row>
    <row r="23" customFormat="false" ht="15" hidden="false" customHeight="true" outlineLevel="0" collapsed="false">
      <c r="A23" s="8"/>
      <c r="B23" s="9"/>
    </row>
    <row r="24" customFormat="false" ht="15" hidden="false" customHeight="true" outlineLevel="0" collapsed="false">
      <c r="A24" s="8"/>
      <c r="B24" s="9"/>
    </row>
    <row r="25" customFormat="false" ht="15" hidden="false" customHeight="true" outlineLevel="0" collapsed="false">
      <c r="A25" s="8"/>
      <c r="B25" s="9"/>
    </row>
    <row r="26" customFormat="false" ht="15" hidden="false" customHeight="true" outlineLevel="0" collapsed="false">
      <c r="A26" s="8"/>
      <c r="B26" s="9"/>
    </row>
    <row r="27" customFormat="false" ht="15" hidden="false" customHeight="true" outlineLevel="0" collapsed="false">
      <c r="A27" s="8"/>
      <c r="B27" s="9"/>
    </row>
    <row r="28" customFormat="false" ht="15" hidden="false" customHeight="true" outlineLevel="0" collapsed="false">
      <c r="A28" s="8"/>
      <c r="B28" s="9"/>
    </row>
    <row r="29" customFormat="false" ht="15" hidden="false" customHeight="true" outlineLevel="0" collapsed="false">
      <c r="A29" s="8"/>
      <c r="B29" s="9"/>
    </row>
    <row r="30" customFormat="false" ht="15" hidden="false" customHeight="true" outlineLevel="0" collapsed="false">
      <c r="A30" s="8"/>
      <c r="B30" s="9"/>
    </row>
    <row r="31" customFormat="false" ht="15" hidden="false" customHeight="true" outlineLevel="0" collapsed="false">
      <c r="A31" s="8"/>
      <c r="B3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0" t="s">
        <v>28</v>
      </c>
      <c r="B1" s="10" t="s">
        <v>20</v>
      </c>
      <c r="C1" s="10" t="s">
        <v>29</v>
      </c>
      <c r="D1" s="10" t="s">
        <v>30</v>
      </c>
      <c r="E1" s="10" t="s">
        <v>31</v>
      </c>
      <c r="F1" s="10" t="s">
        <v>32</v>
      </c>
    </row>
    <row r="2" customFormat="false" ht="15" hidden="false" customHeight="true" outlineLevel="0" collapsed="false">
      <c r="A2" s="11" t="n">
        <v>46175</v>
      </c>
      <c r="B2" s="8" t="s">
        <v>23</v>
      </c>
      <c r="C2" s="8" t="n">
        <v>10</v>
      </c>
      <c r="D2" s="9" t="n">
        <v>150</v>
      </c>
      <c r="E2" s="12" t="n">
        <f aca="false">IF(AND(C2&lt;&gt;"",D2&lt;&gt;""),C2*D2,"")</f>
        <v>1500</v>
      </c>
      <c r="F2" s="13"/>
    </row>
    <row r="3" customFormat="false" ht="15" hidden="false" customHeight="true" outlineLevel="0" collapsed="false">
      <c r="A3" s="11" t="n">
        <v>46178</v>
      </c>
      <c r="B3" s="8" t="s">
        <v>25</v>
      </c>
      <c r="C3" s="8" t="n">
        <v>6</v>
      </c>
      <c r="D3" s="9" t="n">
        <v>250</v>
      </c>
      <c r="E3" s="12" t="n">
        <f aca="false">IF(AND(C3&lt;&gt;"",D3&lt;&gt;""),C3*D3,"")</f>
        <v>1500</v>
      </c>
      <c r="F3" s="13"/>
    </row>
    <row r="4" customFormat="false" ht="15" hidden="false" customHeight="true" outlineLevel="0" collapsed="false">
      <c r="A4" s="11" t="n">
        <v>46185</v>
      </c>
      <c r="B4" s="8" t="s">
        <v>26</v>
      </c>
      <c r="C4" s="8" t="n">
        <v>3</v>
      </c>
      <c r="D4" s="9" t="n">
        <v>900</v>
      </c>
      <c r="E4" s="12" t="n">
        <f aca="false">IF(AND(C4&lt;&gt;"",D4&lt;&gt;""),C4*D4,"")</f>
        <v>2700</v>
      </c>
      <c r="F4" s="13"/>
    </row>
    <row r="5" customFormat="false" ht="15" hidden="false" customHeight="true" outlineLevel="0" collapsed="false">
      <c r="A5" s="11" t="n">
        <v>46193</v>
      </c>
      <c r="B5" s="8" t="s">
        <v>23</v>
      </c>
      <c r="C5" s="8" t="n">
        <v>8</v>
      </c>
      <c r="D5" s="9" t="n">
        <v>150</v>
      </c>
      <c r="E5" s="12" t="n">
        <f aca="false">IF(AND(C5&lt;&gt;"",D5&lt;&gt;""),C5*D5,"")</f>
        <v>1200</v>
      </c>
      <c r="F5" s="13"/>
    </row>
    <row r="6" customFormat="false" ht="15" hidden="false" customHeight="true" outlineLevel="0" collapsed="false">
      <c r="A6" s="11" t="n">
        <v>46201</v>
      </c>
      <c r="B6" s="8" t="s">
        <v>27</v>
      </c>
      <c r="C6" s="8" t="n">
        <v>15</v>
      </c>
      <c r="D6" s="9" t="n">
        <v>60</v>
      </c>
      <c r="E6" s="12" t="n">
        <f aca="false">IF(AND(C6&lt;&gt;"",D6&lt;&gt;""),C6*D6,"")</f>
        <v>900</v>
      </c>
      <c r="F6" s="13"/>
    </row>
    <row r="7" customFormat="false" ht="15" hidden="false" customHeight="true" outlineLevel="0" collapsed="false">
      <c r="A7" s="11" t="n">
        <v>46206</v>
      </c>
      <c r="B7" s="8" t="s">
        <v>26</v>
      </c>
      <c r="C7" s="8" t="n">
        <v>2</v>
      </c>
      <c r="D7" s="9" t="n">
        <v>900</v>
      </c>
      <c r="E7" s="12" t="n">
        <f aca="false">IF(AND(C7&lt;&gt;"",D7&lt;&gt;""),C7*D7,"")</f>
        <v>1800</v>
      </c>
      <c r="F7" s="13"/>
    </row>
    <row r="8" customFormat="false" ht="15" hidden="false" customHeight="true" outlineLevel="0" collapsed="false">
      <c r="A8" s="11" t="n">
        <v>46211</v>
      </c>
      <c r="B8" s="8" t="s">
        <v>25</v>
      </c>
      <c r="C8" s="8" t="n">
        <v>10</v>
      </c>
      <c r="D8" s="9" t="n">
        <v>250</v>
      </c>
      <c r="E8" s="12" t="n">
        <f aca="false">IF(AND(C8&lt;&gt;"",D8&lt;&gt;""),C8*D8,"")</f>
        <v>2500</v>
      </c>
      <c r="F8" s="13"/>
    </row>
    <row r="9" customFormat="false" ht="15" hidden="false" customHeight="true" outlineLevel="0" collapsed="false">
      <c r="A9" s="11" t="n">
        <v>46218</v>
      </c>
      <c r="B9" s="8" t="s">
        <v>23</v>
      </c>
      <c r="C9" s="8" t="n">
        <v>12</v>
      </c>
      <c r="D9" s="9" t="n">
        <v>150</v>
      </c>
      <c r="E9" s="12" t="n">
        <f aca="false">IF(AND(C9&lt;&gt;"",D9&lt;&gt;""),C9*D9,"")</f>
        <v>1800</v>
      </c>
      <c r="F9" s="13"/>
    </row>
    <row r="10" customFormat="false" ht="15" hidden="false" customHeight="true" outlineLevel="0" collapsed="false">
      <c r="A10" s="11" t="n">
        <v>46206</v>
      </c>
      <c r="B10" s="8" t="s">
        <v>23</v>
      </c>
      <c r="C10" s="8" t="n">
        <v>4</v>
      </c>
      <c r="D10" s="9" t="n">
        <v>150</v>
      </c>
      <c r="E10" s="12" t="n">
        <f aca="false">IF(AND(C10&lt;&gt;"",D10&lt;&gt;""),C10*D10,"")</f>
        <v>600</v>
      </c>
      <c r="F10" s="13"/>
    </row>
    <row r="11" customFormat="false" ht="15" hidden="false" customHeight="true" outlineLevel="0" collapsed="false">
      <c r="A11" s="11" t="n">
        <v>46206</v>
      </c>
      <c r="B11" s="8" t="s">
        <v>25</v>
      </c>
      <c r="C11" s="8" t="n">
        <v>2</v>
      </c>
      <c r="D11" s="9" t="n">
        <v>250</v>
      </c>
      <c r="E11" s="12" t="n">
        <f aca="false">IF(AND(C11&lt;&gt;"",D11&lt;&gt;""),C11*D11,"")</f>
        <v>500</v>
      </c>
      <c r="F11" s="13"/>
    </row>
    <row r="12" customFormat="false" ht="15" hidden="false" customHeight="true" outlineLevel="0" collapsed="false">
      <c r="A12" s="11"/>
      <c r="B12" s="8"/>
      <c r="C12" s="8"/>
      <c r="D12" s="9"/>
      <c r="E12" s="12" t="str">
        <f aca="false">IF(AND(C12&lt;&gt;"",D12&lt;&gt;""),C12*D12,"")</f>
        <v/>
      </c>
      <c r="F12" s="13"/>
    </row>
    <row r="13" customFormat="false" ht="15" hidden="false" customHeight="true" outlineLevel="0" collapsed="false">
      <c r="A13" s="11"/>
      <c r="B13" s="8"/>
      <c r="C13" s="8"/>
      <c r="D13" s="9"/>
      <c r="E13" s="12" t="str">
        <f aca="false">IF(AND(C13&lt;&gt;"",D13&lt;&gt;""),C13*D13,"")</f>
        <v/>
      </c>
      <c r="F13" s="13"/>
    </row>
    <row r="14" customFormat="false" ht="15" hidden="false" customHeight="true" outlineLevel="0" collapsed="false">
      <c r="A14" s="11"/>
      <c r="B14" s="8"/>
      <c r="C14" s="8"/>
      <c r="D14" s="9"/>
      <c r="E14" s="12" t="str">
        <f aca="false">IF(AND(C14&lt;&gt;"",D14&lt;&gt;""),C14*D14,"")</f>
        <v/>
      </c>
      <c r="F14" s="13"/>
    </row>
    <row r="15" customFormat="false" ht="15" hidden="false" customHeight="true" outlineLevel="0" collapsed="false">
      <c r="A15" s="11"/>
      <c r="B15" s="8"/>
      <c r="C15" s="8"/>
      <c r="D15" s="9"/>
      <c r="E15" s="12" t="str">
        <f aca="false">IF(AND(C15&lt;&gt;"",D15&lt;&gt;""),C15*D15,"")</f>
        <v/>
      </c>
      <c r="F15" s="13"/>
    </row>
    <row r="16" customFormat="false" ht="15" hidden="false" customHeight="true" outlineLevel="0" collapsed="false">
      <c r="A16" s="11"/>
      <c r="B16" s="8"/>
      <c r="C16" s="8"/>
      <c r="D16" s="9"/>
      <c r="E16" s="12" t="str">
        <f aca="false">IF(AND(C16&lt;&gt;"",D16&lt;&gt;""),C16*D16,"")</f>
        <v/>
      </c>
      <c r="F16" s="13"/>
    </row>
    <row r="17" customFormat="false" ht="15" hidden="false" customHeight="true" outlineLevel="0" collapsed="false">
      <c r="A17" s="11"/>
      <c r="B17" s="8"/>
      <c r="C17" s="8"/>
      <c r="D17" s="9"/>
      <c r="E17" s="12" t="str">
        <f aca="false">IF(AND(C17&lt;&gt;"",D17&lt;&gt;""),C17*D17,"")</f>
        <v/>
      </c>
      <c r="F17" s="13"/>
    </row>
    <row r="18" customFormat="false" ht="15" hidden="false" customHeight="true" outlineLevel="0" collapsed="false">
      <c r="A18" s="11"/>
      <c r="B18" s="8"/>
      <c r="C18" s="8"/>
      <c r="D18" s="9"/>
      <c r="E18" s="12" t="str">
        <f aca="false">IF(AND(C18&lt;&gt;"",D18&lt;&gt;""),C18*D18,"")</f>
        <v/>
      </c>
      <c r="F18" s="13"/>
    </row>
    <row r="19" customFormat="false" ht="15" hidden="false" customHeight="true" outlineLevel="0" collapsed="false">
      <c r="A19" s="11"/>
      <c r="B19" s="8"/>
      <c r="C19" s="8"/>
      <c r="D19" s="9"/>
      <c r="E19" s="12" t="str">
        <f aca="false">IF(AND(C19&lt;&gt;"",D19&lt;&gt;""),C19*D19,"")</f>
        <v/>
      </c>
      <c r="F19" s="13"/>
    </row>
    <row r="20" customFormat="false" ht="15" hidden="false" customHeight="true" outlineLevel="0" collapsed="false">
      <c r="A20" s="11"/>
      <c r="B20" s="8"/>
      <c r="C20" s="8"/>
      <c r="D20" s="9"/>
      <c r="E20" s="12" t="str">
        <f aca="false">IF(AND(C20&lt;&gt;"",D20&lt;&gt;""),C20*D20,"")</f>
        <v/>
      </c>
      <c r="F20" s="13"/>
    </row>
    <row r="21" customFormat="false" ht="15" hidden="false" customHeight="true" outlineLevel="0" collapsed="false">
      <c r="A21" s="11"/>
      <c r="B21" s="8"/>
      <c r="C21" s="8"/>
      <c r="D21" s="9"/>
      <c r="E21" s="12" t="str">
        <f aca="false">IF(AND(C21&lt;&gt;"",D21&lt;&gt;""),C21*D21,"")</f>
        <v/>
      </c>
      <c r="F21" s="13"/>
    </row>
    <row r="22" customFormat="false" ht="15" hidden="false" customHeight="true" outlineLevel="0" collapsed="false">
      <c r="A22" s="11"/>
      <c r="B22" s="8"/>
      <c r="C22" s="8"/>
      <c r="D22" s="9"/>
      <c r="E22" s="12" t="str">
        <f aca="false">IF(AND(C22&lt;&gt;"",D22&lt;&gt;""),C22*D22,"")</f>
        <v/>
      </c>
      <c r="F22" s="13"/>
    </row>
    <row r="23" customFormat="false" ht="15" hidden="false" customHeight="true" outlineLevel="0" collapsed="false">
      <c r="A23" s="11"/>
      <c r="B23" s="8"/>
      <c r="C23" s="8"/>
      <c r="D23" s="9"/>
      <c r="E23" s="12" t="str">
        <f aca="false">IF(AND(C23&lt;&gt;"",D23&lt;&gt;""),C23*D23,"")</f>
        <v/>
      </c>
      <c r="F23" s="13"/>
    </row>
    <row r="24" customFormat="false" ht="15" hidden="false" customHeight="true" outlineLevel="0" collapsed="false">
      <c r="A24" s="11"/>
      <c r="B24" s="8"/>
      <c r="C24" s="8"/>
      <c r="D24" s="9"/>
      <c r="E24" s="12" t="str">
        <f aca="false">IF(AND(C24&lt;&gt;"",D24&lt;&gt;""),C24*D24,"")</f>
        <v/>
      </c>
      <c r="F24" s="13"/>
    </row>
    <row r="25" customFormat="false" ht="15" hidden="false" customHeight="true" outlineLevel="0" collapsed="false">
      <c r="A25" s="11"/>
      <c r="B25" s="8"/>
      <c r="C25" s="8"/>
      <c r="D25" s="9"/>
      <c r="E25" s="12" t="str">
        <f aca="false">IF(AND(C25&lt;&gt;"",D25&lt;&gt;""),C25*D25,"")</f>
        <v/>
      </c>
      <c r="F25" s="13"/>
    </row>
    <row r="26" customFormat="false" ht="15" hidden="false" customHeight="true" outlineLevel="0" collapsed="false">
      <c r="A26" s="11"/>
      <c r="B26" s="8"/>
      <c r="C26" s="8"/>
      <c r="D26" s="9"/>
      <c r="E26" s="12" t="str">
        <f aca="false">IF(AND(C26&lt;&gt;"",D26&lt;&gt;""),C26*D26,"")</f>
        <v/>
      </c>
      <c r="F26" s="13"/>
    </row>
    <row r="27" customFormat="false" ht="15" hidden="false" customHeight="true" outlineLevel="0" collapsed="false">
      <c r="A27" s="11"/>
      <c r="B27" s="8"/>
      <c r="C27" s="8"/>
      <c r="D27" s="9"/>
      <c r="E27" s="12" t="str">
        <f aca="false">IF(AND(C27&lt;&gt;"",D27&lt;&gt;""),C27*D27,"")</f>
        <v/>
      </c>
      <c r="F27" s="13"/>
    </row>
    <row r="28" customFormat="false" ht="15" hidden="false" customHeight="true" outlineLevel="0" collapsed="false">
      <c r="A28" s="11"/>
      <c r="B28" s="8"/>
      <c r="C28" s="8"/>
      <c r="D28" s="9"/>
      <c r="E28" s="12" t="str">
        <f aca="false">IF(AND(C28&lt;&gt;"",D28&lt;&gt;""),C28*D28,"")</f>
        <v/>
      </c>
      <c r="F28" s="13"/>
    </row>
    <row r="29" customFormat="false" ht="15" hidden="false" customHeight="true" outlineLevel="0" collapsed="false">
      <c r="A29" s="11"/>
      <c r="B29" s="8"/>
      <c r="C29" s="8"/>
      <c r="D29" s="9"/>
      <c r="E29" s="12" t="str">
        <f aca="false">IF(AND(C29&lt;&gt;"",D29&lt;&gt;""),C29*D29,"")</f>
        <v/>
      </c>
      <c r="F29" s="13"/>
    </row>
    <row r="30" customFormat="false" ht="15" hidden="false" customHeight="true" outlineLevel="0" collapsed="false">
      <c r="A30" s="11"/>
      <c r="B30" s="8"/>
      <c r="C30" s="8"/>
      <c r="D30" s="9"/>
      <c r="E30" s="12" t="str">
        <f aca="false">IF(AND(C30&lt;&gt;"",D30&lt;&gt;""),C30*D30,"")</f>
        <v/>
      </c>
      <c r="F30" s="13"/>
    </row>
    <row r="31" customFormat="false" ht="15" hidden="false" customHeight="true" outlineLevel="0" collapsed="false">
      <c r="A31" s="11"/>
      <c r="B31" s="8"/>
      <c r="C31" s="8"/>
      <c r="D31" s="9"/>
      <c r="E31" s="12" t="str">
        <f aca="false">IF(AND(C31&lt;&gt;"",D31&lt;&gt;""),C31*D31,"")</f>
        <v/>
      </c>
      <c r="F31" s="13"/>
    </row>
    <row r="32" customFormat="false" ht="15" hidden="false" customHeight="true" outlineLevel="0" collapsed="false">
      <c r="A32" s="11"/>
      <c r="B32" s="8"/>
      <c r="C32" s="8"/>
      <c r="D32" s="9"/>
      <c r="E32" s="12" t="str">
        <f aca="false">IF(AND(C32&lt;&gt;"",D32&lt;&gt;""),C32*D32,"")</f>
        <v/>
      </c>
      <c r="F32" s="13"/>
    </row>
    <row r="33" customFormat="false" ht="15" hidden="false" customHeight="true" outlineLevel="0" collapsed="false">
      <c r="A33" s="11"/>
      <c r="B33" s="8"/>
      <c r="C33" s="8"/>
      <c r="D33" s="9"/>
      <c r="E33" s="12" t="str">
        <f aca="false">IF(AND(C33&lt;&gt;"",D33&lt;&gt;""),C33*D33,"")</f>
        <v/>
      </c>
      <c r="F33" s="13"/>
    </row>
    <row r="34" customFormat="false" ht="15" hidden="false" customHeight="true" outlineLevel="0" collapsed="false">
      <c r="A34" s="11"/>
      <c r="B34" s="8"/>
      <c r="C34" s="8"/>
      <c r="D34" s="9"/>
      <c r="E34" s="12" t="str">
        <f aca="false">IF(AND(C34&lt;&gt;"",D34&lt;&gt;""),C34*D34,"")</f>
        <v/>
      </c>
      <c r="F34" s="13"/>
    </row>
    <row r="35" customFormat="false" ht="15" hidden="false" customHeight="true" outlineLevel="0" collapsed="false">
      <c r="A35" s="11"/>
      <c r="B35" s="8"/>
      <c r="C35" s="8"/>
      <c r="D35" s="9"/>
      <c r="E35" s="12" t="str">
        <f aca="false">IF(AND(C35&lt;&gt;"",D35&lt;&gt;""),C35*D35,"")</f>
        <v/>
      </c>
      <c r="F35" s="13"/>
    </row>
    <row r="36" customFormat="false" ht="15" hidden="false" customHeight="true" outlineLevel="0" collapsed="false">
      <c r="A36" s="11"/>
      <c r="B36" s="8"/>
      <c r="C36" s="8"/>
      <c r="D36" s="9"/>
      <c r="E36" s="12" t="str">
        <f aca="false">IF(AND(C36&lt;&gt;"",D36&lt;&gt;""),C36*D36,"")</f>
        <v/>
      </c>
      <c r="F36" s="13"/>
    </row>
    <row r="37" customFormat="false" ht="15" hidden="false" customHeight="true" outlineLevel="0" collapsed="false">
      <c r="A37" s="11"/>
      <c r="B37" s="8"/>
      <c r="C37" s="8"/>
      <c r="D37" s="9"/>
      <c r="E37" s="12" t="str">
        <f aca="false">IF(AND(C37&lt;&gt;"",D37&lt;&gt;""),C37*D37,"")</f>
        <v/>
      </c>
      <c r="F37" s="13"/>
    </row>
    <row r="38" customFormat="false" ht="15" hidden="false" customHeight="true" outlineLevel="0" collapsed="false">
      <c r="A38" s="11"/>
      <c r="B38" s="8"/>
      <c r="C38" s="8"/>
      <c r="D38" s="9"/>
      <c r="E38" s="12" t="str">
        <f aca="false">IF(AND(C38&lt;&gt;"",D38&lt;&gt;""),C38*D38,"")</f>
        <v/>
      </c>
      <c r="F38" s="13"/>
    </row>
    <row r="39" customFormat="false" ht="15" hidden="false" customHeight="true" outlineLevel="0" collapsed="false">
      <c r="A39" s="11"/>
      <c r="B39" s="8"/>
      <c r="C39" s="8"/>
      <c r="D39" s="9"/>
      <c r="E39" s="12" t="str">
        <f aca="false">IF(AND(C39&lt;&gt;"",D39&lt;&gt;""),C39*D39,"")</f>
        <v/>
      </c>
      <c r="F39" s="13"/>
    </row>
    <row r="40" customFormat="false" ht="15" hidden="false" customHeight="true" outlineLevel="0" collapsed="false">
      <c r="A40" s="11"/>
      <c r="B40" s="8"/>
      <c r="C40" s="8"/>
      <c r="D40" s="9"/>
      <c r="E40" s="12" t="str">
        <f aca="false">IF(AND(C40&lt;&gt;"",D40&lt;&gt;""),C40*D40,"")</f>
        <v/>
      </c>
      <c r="F40" s="13"/>
    </row>
    <row r="41" customFormat="false" ht="15" hidden="false" customHeight="true" outlineLevel="0" collapsed="false">
      <c r="A41" s="11"/>
      <c r="B41" s="8"/>
      <c r="C41" s="8"/>
      <c r="D41" s="9"/>
      <c r="E41" s="12" t="str">
        <f aca="false">IF(AND(C41&lt;&gt;"",D41&lt;&gt;""),C41*D41,"")</f>
        <v/>
      </c>
      <c r="F41" s="13"/>
    </row>
    <row r="42" customFormat="false" ht="15" hidden="false" customHeight="true" outlineLevel="0" collapsed="false">
      <c r="A42" s="11"/>
      <c r="B42" s="8"/>
      <c r="C42" s="8"/>
      <c r="D42" s="9"/>
      <c r="E42" s="12" t="str">
        <f aca="false">IF(AND(C42&lt;&gt;"",D42&lt;&gt;""),C42*D42,"")</f>
        <v/>
      </c>
      <c r="F42" s="13"/>
    </row>
    <row r="43" customFormat="false" ht="15" hidden="false" customHeight="true" outlineLevel="0" collapsed="false">
      <c r="A43" s="11"/>
      <c r="B43" s="8"/>
      <c r="C43" s="8"/>
      <c r="D43" s="9"/>
      <c r="E43" s="12" t="str">
        <f aca="false">IF(AND(C43&lt;&gt;"",D43&lt;&gt;""),C43*D43,"")</f>
        <v/>
      </c>
      <c r="F43" s="13"/>
    </row>
    <row r="44" customFormat="false" ht="15" hidden="false" customHeight="true" outlineLevel="0" collapsed="false">
      <c r="A44" s="11"/>
      <c r="B44" s="8"/>
      <c r="C44" s="8"/>
      <c r="D44" s="9"/>
      <c r="E44" s="12" t="str">
        <f aca="false">IF(AND(C44&lt;&gt;"",D44&lt;&gt;""),C44*D44,"")</f>
        <v/>
      </c>
      <c r="F44" s="13"/>
    </row>
    <row r="45" customFormat="false" ht="15" hidden="false" customHeight="true" outlineLevel="0" collapsed="false">
      <c r="A45" s="11"/>
      <c r="B45" s="8"/>
      <c r="C45" s="8"/>
      <c r="D45" s="9"/>
      <c r="E45" s="12" t="str">
        <f aca="false">IF(AND(C45&lt;&gt;"",D45&lt;&gt;""),C45*D45,"")</f>
        <v/>
      </c>
      <c r="F45" s="13"/>
    </row>
    <row r="46" customFormat="false" ht="15" hidden="false" customHeight="true" outlineLevel="0" collapsed="false">
      <c r="A46" s="11"/>
      <c r="B46" s="8"/>
      <c r="C46" s="8"/>
      <c r="D46" s="9"/>
      <c r="E46" s="12" t="str">
        <f aca="false">IF(AND(C46&lt;&gt;"",D46&lt;&gt;""),C46*D46,"")</f>
        <v/>
      </c>
      <c r="F46" s="13"/>
    </row>
    <row r="47" customFormat="false" ht="15" hidden="false" customHeight="true" outlineLevel="0" collapsed="false">
      <c r="A47" s="11"/>
      <c r="B47" s="8"/>
      <c r="C47" s="8"/>
      <c r="D47" s="9"/>
      <c r="E47" s="12" t="str">
        <f aca="false">IF(AND(C47&lt;&gt;"",D47&lt;&gt;""),C47*D47,"")</f>
        <v/>
      </c>
      <c r="F47" s="13"/>
    </row>
    <row r="48" customFormat="false" ht="15" hidden="false" customHeight="true" outlineLevel="0" collapsed="false">
      <c r="A48" s="11"/>
      <c r="B48" s="8"/>
      <c r="C48" s="8"/>
      <c r="D48" s="9"/>
      <c r="E48" s="12" t="str">
        <f aca="false">IF(AND(C48&lt;&gt;"",D48&lt;&gt;""),C48*D48,"")</f>
        <v/>
      </c>
      <c r="F48" s="13"/>
    </row>
    <row r="49" customFormat="false" ht="15" hidden="false" customHeight="true" outlineLevel="0" collapsed="false">
      <c r="A49" s="11"/>
      <c r="B49" s="8"/>
      <c r="C49" s="8"/>
      <c r="D49" s="9"/>
      <c r="E49" s="12" t="str">
        <f aca="false">IF(AND(C49&lt;&gt;"",D49&lt;&gt;""),C49*D49,"")</f>
        <v/>
      </c>
      <c r="F49" s="13"/>
    </row>
    <row r="50" customFormat="false" ht="15" hidden="false" customHeight="true" outlineLevel="0" collapsed="false">
      <c r="A50" s="11"/>
      <c r="B50" s="8"/>
      <c r="C50" s="8"/>
      <c r="D50" s="9"/>
      <c r="E50" s="12" t="str">
        <f aca="false">IF(AND(C50&lt;&gt;"",D50&lt;&gt;""),C50*D50,"")</f>
        <v/>
      </c>
      <c r="F50" s="13"/>
    </row>
    <row r="51" customFormat="false" ht="15" hidden="false" customHeight="true" outlineLevel="0" collapsed="false">
      <c r="A51" s="11"/>
      <c r="B51" s="8"/>
      <c r="C51" s="8"/>
      <c r="D51" s="9"/>
      <c r="E51" s="12" t="str">
        <f aca="false">IF(AND(C51&lt;&gt;"",D51&lt;&gt;""),C51*D51,"")</f>
        <v/>
      </c>
      <c r="F51" s="13"/>
    </row>
    <row r="52" customFormat="false" ht="15" hidden="false" customHeight="true" outlineLevel="0" collapsed="false">
      <c r="A52" s="11"/>
      <c r="B52" s="8"/>
      <c r="C52" s="8"/>
      <c r="D52" s="9"/>
      <c r="E52" s="12" t="str">
        <f aca="false">IF(AND(C52&lt;&gt;"",D52&lt;&gt;""),C52*D52,"")</f>
        <v/>
      </c>
      <c r="F52" s="13"/>
    </row>
    <row r="53" customFormat="false" ht="15" hidden="false" customHeight="true" outlineLevel="0" collapsed="false">
      <c r="A53" s="11"/>
      <c r="B53" s="8"/>
      <c r="C53" s="8"/>
      <c r="D53" s="9"/>
      <c r="E53" s="12" t="str">
        <f aca="false">IF(AND(C53&lt;&gt;"",D53&lt;&gt;""),C53*D53,"")</f>
        <v/>
      </c>
      <c r="F53" s="13"/>
    </row>
    <row r="54" customFormat="false" ht="15" hidden="false" customHeight="true" outlineLevel="0" collapsed="false">
      <c r="A54" s="11"/>
      <c r="B54" s="8"/>
      <c r="C54" s="8"/>
      <c r="D54" s="9"/>
      <c r="E54" s="12" t="str">
        <f aca="false">IF(AND(C54&lt;&gt;"",D54&lt;&gt;""),C54*D54,"")</f>
        <v/>
      </c>
      <c r="F54" s="13"/>
    </row>
    <row r="55" customFormat="false" ht="15" hidden="false" customHeight="true" outlineLevel="0" collapsed="false">
      <c r="A55" s="11"/>
      <c r="B55" s="8"/>
      <c r="C55" s="8"/>
      <c r="D55" s="9"/>
      <c r="E55" s="12" t="str">
        <f aca="false">IF(AND(C55&lt;&gt;"",D55&lt;&gt;""),C55*D55,"")</f>
        <v/>
      </c>
      <c r="F55" s="13"/>
    </row>
    <row r="56" customFormat="false" ht="15" hidden="false" customHeight="true" outlineLevel="0" collapsed="false">
      <c r="A56" s="11"/>
      <c r="B56" s="8"/>
      <c r="C56" s="8"/>
      <c r="D56" s="9"/>
      <c r="E56" s="12" t="str">
        <f aca="false">IF(AND(C56&lt;&gt;"",D56&lt;&gt;""),C56*D56,"")</f>
        <v/>
      </c>
      <c r="F56" s="13"/>
    </row>
    <row r="57" customFormat="false" ht="15" hidden="false" customHeight="true" outlineLevel="0" collapsed="false">
      <c r="A57" s="11"/>
      <c r="B57" s="8"/>
      <c r="C57" s="8"/>
      <c r="D57" s="9"/>
      <c r="E57" s="12" t="str">
        <f aca="false">IF(AND(C57&lt;&gt;"",D57&lt;&gt;""),C57*D57,"")</f>
        <v/>
      </c>
      <c r="F57" s="13"/>
    </row>
    <row r="58" customFormat="false" ht="15" hidden="false" customHeight="true" outlineLevel="0" collapsed="false">
      <c r="A58" s="11"/>
      <c r="B58" s="8"/>
      <c r="C58" s="8"/>
      <c r="D58" s="9"/>
      <c r="E58" s="12" t="str">
        <f aca="false">IF(AND(C58&lt;&gt;"",D58&lt;&gt;""),C58*D58,"")</f>
        <v/>
      </c>
      <c r="F58" s="13"/>
    </row>
    <row r="59" customFormat="false" ht="15" hidden="false" customHeight="true" outlineLevel="0" collapsed="false">
      <c r="A59" s="11"/>
      <c r="B59" s="8"/>
      <c r="C59" s="8"/>
      <c r="D59" s="9"/>
      <c r="E59" s="12" t="str">
        <f aca="false">IF(AND(C59&lt;&gt;"",D59&lt;&gt;""),C59*D59,"")</f>
        <v/>
      </c>
      <c r="F59" s="13"/>
    </row>
    <row r="60" customFormat="false" ht="15" hidden="false" customHeight="true" outlineLevel="0" collapsed="false">
      <c r="A60" s="11"/>
      <c r="B60" s="8"/>
      <c r="C60" s="8"/>
      <c r="D60" s="9"/>
      <c r="E60" s="12" t="str">
        <f aca="false">IF(AND(C60&lt;&gt;"",D60&lt;&gt;""),C60*D60,"")</f>
        <v/>
      </c>
      <c r="F60" s="13"/>
    </row>
    <row r="61" customFormat="false" ht="15" hidden="false" customHeight="true" outlineLevel="0" collapsed="false">
      <c r="A61" s="11"/>
      <c r="B61" s="8"/>
      <c r="C61" s="8"/>
      <c r="D61" s="9"/>
      <c r="E61" s="12" t="str">
        <f aca="false">IF(AND(C61&lt;&gt;"",D61&lt;&gt;""),C61*D61,"")</f>
        <v/>
      </c>
      <c r="F61" s="13"/>
    </row>
    <row r="62" customFormat="false" ht="15" hidden="false" customHeight="true" outlineLevel="0" collapsed="false">
      <c r="A62" s="11"/>
      <c r="B62" s="8"/>
      <c r="C62" s="8"/>
      <c r="D62" s="9"/>
      <c r="E62" s="12" t="str">
        <f aca="false">IF(AND(C62&lt;&gt;"",D62&lt;&gt;""),C62*D62,"")</f>
        <v/>
      </c>
      <c r="F62" s="13"/>
    </row>
    <row r="63" customFormat="false" ht="15" hidden="false" customHeight="true" outlineLevel="0" collapsed="false">
      <c r="A63" s="11"/>
      <c r="B63" s="8"/>
      <c r="C63" s="8"/>
      <c r="D63" s="9"/>
      <c r="E63" s="12" t="str">
        <f aca="false">IF(AND(C63&lt;&gt;"",D63&lt;&gt;""),C63*D63,"")</f>
        <v/>
      </c>
      <c r="F63" s="13"/>
    </row>
    <row r="64" customFormat="false" ht="15" hidden="false" customHeight="true" outlineLevel="0" collapsed="false">
      <c r="A64" s="11"/>
      <c r="B64" s="8"/>
      <c r="C64" s="8"/>
      <c r="D64" s="9"/>
      <c r="E64" s="12" t="str">
        <f aca="false">IF(AND(C64&lt;&gt;"",D64&lt;&gt;""),C64*D64,"")</f>
        <v/>
      </c>
      <c r="F64" s="13"/>
    </row>
    <row r="65" customFormat="false" ht="15" hidden="false" customHeight="true" outlineLevel="0" collapsed="false">
      <c r="A65" s="11"/>
      <c r="B65" s="8"/>
      <c r="C65" s="8"/>
      <c r="D65" s="9"/>
      <c r="E65" s="12" t="str">
        <f aca="false">IF(AND(C65&lt;&gt;"",D65&lt;&gt;""),C65*D65,"")</f>
        <v/>
      </c>
      <c r="F65" s="13"/>
    </row>
    <row r="66" customFormat="false" ht="15" hidden="false" customHeight="true" outlineLevel="0" collapsed="false">
      <c r="A66" s="11"/>
      <c r="B66" s="8"/>
      <c r="C66" s="8"/>
      <c r="D66" s="9"/>
      <c r="E66" s="12" t="str">
        <f aca="false">IF(AND(C66&lt;&gt;"",D66&lt;&gt;""),C66*D66,"")</f>
        <v/>
      </c>
      <c r="F66" s="13"/>
    </row>
    <row r="67" customFormat="false" ht="15" hidden="false" customHeight="true" outlineLevel="0" collapsed="false">
      <c r="A67" s="11"/>
      <c r="B67" s="8"/>
      <c r="C67" s="8"/>
      <c r="D67" s="9"/>
      <c r="E67" s="12" t="str">
        <f aca="false">IF(AND(C67&lt;&gt;"",D67&lt;&gt;""),C67*D67,"")</f>
        <v/>
      </c>
      <c r="F67" s="13"/>
    </row>
    <row r="68" customFormat="false" ht="15" hidden="false" customHeight="true" outlineLevel="0" collapsed="false">
      <c r="A68" s="11"/>
      <c r="B68" s="8"/>
      <c r="C68" s="8"/>
      <c r="D68" s="9"/>
      <c r="E68" s="12" t="str">
        <f aca="false">IF(AND(C68&lt;&gt;"",D68&lt;&gt;""),C68*D68,"")</f>
        <v/>
      </c>
      <c r="F68" s="13"/>
    </row>
    <row r="69" customFormat="false" ht="15" hidden="false" customHeight="true" outlineLevel="0" collapsed="false">
      <c r="A69" s="11"/>
      <c r="B69" s="8"/>
      <c r="C69" s="8"/>
      <c r="D69" s="9"/>
      <c r="E69" s="12" t="str">
        <f aca="false">IF(AND(C69&lt;&gt;"",D69&lt;&gt;""),C69*D69,"")</f>
        <v/>
      </c>
      <c r="F69" s="13"/>
    </row>
    <row r="70" customFormat="false" ht="15" hidden="false" customHeight="true" outlineLevel="0" collapsed="false">
      <c r="A70" s="11"/>
      <c r="B70" s="8"/>
      <c r="C70" s="8"/>
      <c r="D70" s="9"/>
      <c r="E70" s="12" t="str">
        <f aca="false">IF(AND(C70&lt;&gt;"",D70&lt;&gt;""),C70*D70,"")</f>
        <v/>
      </c>
      <c r="F70" s="13"/>
    </row>
    <row r="71" customFormat="false" ht="15" hidden="false" customHeight="true" outlineLevel="0" collapsed="false">
      <c r="A71" s="11"/>
      <c r="B71" s="8"/>
      <c r="C71" s="8"/>
      <c r="D71" s="9"/>
      <c r="E71" s="12" t="str">
        <f aca="false">IF(AND(C71&lt;&gt;"",D71&lt;&gt;""),C71*D71,"")</f>
        <v/>
      </c>
      <c r="F71" s="13"/>
    </row>
    <row r="72" customFormat="false" ht="15" hidden="false" customHeight="true" outlineLevel="0" collapsed="false">
      <c r="A72" s="11"/>
      <c r="B72" s="8"/>
      <c r="C72" s="8"/>
      <c r="D72" s="9"/>
      <c r="E72" s="12" t="str">
        <f aca="false">IF(AND(C72&lt;&gt;"",D72&lt;&gt;""),C72*D72,"")</f>
        <v/>
      </c>
      <c r="F72" s="13"/>
    </row>
    <row r="73" customFormat="false" ht="15" hidden="false" customHeight="true" outlineLevel="0" collapsed="false">
      <c r="A73" s="11"/>
      <c r="B73" s="8"/>
      <c r="C73" s="8"/>
      <c r="D73" s="9"/>
      <c r="E73" s="12" t="str">
        <f aca="false">IF(AND(C73&lt;&gt;"",D73&lt;&gt;""),C73*D73,"")</f>
        <v/>
      </c>
      <c r="F73" s="13"/>
    </row>
    <row r="74" customFormat="false" ht="15" hidden="false" customHeight="true" outlineLevel="0" collapsed="false">
      <c r="A74" s="11"/>
      <c r="B74" s="8"/>
      <c r="C74" s="8"/>
      <c r="D74" s="9"/>
      <c r="E74" s="12" t="str">
        <f aca="false">IF(AND(C74&lt;&gt;"",D74&lt;&gt;""),C74*D74,"")</f>
        <v/>
      </c>
      <c r="F74" s="13"/>
    </row>
    <row r="75" customFormat="false" ht="15" hidden="false" customHeight="true" outlineLevel="0" collapsed="false">
      <c r="A75" s="11"/>
      <c r="B75" s="8"/>
      <c r="C75" s="8"/>
      <c r="D75" s="9"/>
      <c r="E75" s="12" t="str">
        <f aca="false">IF(AND(C75&lt;&gt;"",D75&lt;&gt;""),C75*D75,"")</f>
        <v/>
      </c>
      <c r="F75" s="13"/>
    </row>
    <row r="76" customFormat="false" ht="15" hidden="false" customHeight="true" outlineLevel="0" collapsed="false">
      <c r="A76" s="11"/>
      <c r="B76" s="8"/>
      <c r="C76" s="8"/>
      <c r="D76" s="9"/>
      <c r="E76" s="12" t="str">
        <f aca="false">IF(AND(C76&lt;&gt;"",D76&lt;&gt;""),C76*D76,"")</f>
        <v/>
      </c>
      <c r="F76" s="13"/>
    </row>
    <row r="77" customFormat="false" ht="15" hidden="false" customHeight="true" outlineLevel="0" collapsed="false">
      <c r="A77" s="11"/>
      <c r="B77" s="8"/>
      <c r="C77" s="8"/>
      <c r="D77" s="9"/>
      <c r="E77" s="12" t="str">
        <f aca="false">IF(AND(C77&lt;&gt;"",D77&lt;&gt;""),C77*D77,"")</f>
        <v/>
      </c>
      <c r="F77" s="13"/>
    </row>
    <row r="78" customFormat="false" ht="15" hidden="false" customHeight="true" outlineLevel="0" collapsed="false">
      <c r="A78" s="11"/>
      <c r="B78" s="8"/>
      <c r="C78" s="8"/>
      <c r="D78" s="9"/>
      <c r="E78" s="12" t="str">
        <f aca="false">IF(AND(C78&lt;&gt;"",D78&lt;&gt;""),C78*D78,"")</f>
        <v/>
      </c>
      <c r="F78" s="13"/>
    </row>
    <row r="79" customFormat="false" ht="15" hidden="false" customHeight="true" outlineLevel="0" collapsed="false">
      <c r="A79" s="11"/>
      <c r="B79" s="8"/>
      <c r="C79" s="8"/>
      <c r="D79" s="9"/>
      <c r="E79" s="12" t="str">
        <f aca="false">IF(AND(C79&lt;&gt;"",D79&lt;&gt;""),C79*D79,"")</f>
        <v/>
      </c>
      <c r="F79" s="13"/>
    </row>
    <row r="80" customFormat="false" ht="15" hidden="false" customHeight="true" outlineLevel="0" collapsed="false">
      <c r="A80" s="11"/>
      <c r="B80" s="8"/>
      <c r="C80" s="8"/>
      <c r="D80" s="9"/>
      <c r="E80" s="12" t="str">
        <f aca="false">IF(AND(C80&lt;&gt;"",D80&lt;&gt;""),C80*D80,"")</f>
        <v/>
      </c>
      <c r="F80" s="13"/>
    </row>
    <row r="81" customFormat="false" ht="15" hidden="false" customHeight="true" outlineLevel="0" collapsed="false">
      <c r="A81" s="11"/>
      <c r="B81" s="8"/>
      <c r="C81" s="8"/>
      <c r="D81" s="9"/>
      <c r="E81" s="12" t="str">
        <f aca="false">IF(AND(C81&lt;&gt;"",D81&lt;&gt;""),C81*D81,"")</f>
        <v/>
      </c>
      <c r="F81" s="13"/>
    </row>
    <row r="82" customFormat="false" ht="15" hidden="false" customHeight="true" outlineLevel="0" collapsed="false">
      <c r="A82" s="11"/>
      <c r="B82" s="8"/>
      <c r="C82" s="8"/>
      <c r="D82" s="9"/>
      <c r="E82" s="12" t="str">
        <f aca="false">IF(AND(C82&lt;&gt;"",D82&lt;&gt;""),C82*D82,"")</f>
        <v/>
      </c>
      <c r="F82" s="13"/>
    </row>
    <row r="83" customFormat="false" ht="15" hidden="false" customHeight="true" outlineLevel="0" collapsed="false">
      <c r="A83" s="11"/>
      <c r="B83" s="8"/>
      <c r="C83" s="8"/>
      <c r="D83" s="9"/>
      <c r="E83" s="12" t="str">
        <f aca="false">IF(AND(C83&lt;&gt;"",D83&lt;&gt;""),C83*D83,"")</f>
        <v/>
      </c>
      <c r="F83" s="13"/>
    </row>
    <row r="84" customFormat="false" ht="15" hidden="false" customHeight="true" outlineLevel="0" collapsed="false">
      <c r="A84" s="11"/>
      <c r="B84" s="8"/>
      <c r="C84" s="8"/>
      <c r="D84" s="9"/>
      <c r="E84" s="12" t="str">
        <f aca="false">IF(AND(C84&lt;&gt;"",D84&lt;&gt;""),C84*D84,"")</f>
        <v/>
      </c>
      <c r="F84" s="13"/>
    </row>
    <row r="85" customFormat="false" ht="15" hidden="false" customHeight="true" outlineLevel="0" collapsed="false">
      <c r="A85" s="11"/>
      <c r="B85" s="8"/>
      <c r="C85" s="8"/>
      <c r="D85" s="9"/>
      <c r="E85" s="12" t="str">
        <f aca="false">IF(AND(C85&lt;&gt;"",D85&lt;&gt;""),C85*D85,"")</f>
        <v/>
      </c>
      <c r="F85" s="13"/>
    </row>
    <row r="86" customFormat="false" ht="15" hidden="false" customHeight="true" outlineLevel="0" collapsed="false">
      <c r="A86" s="11"/>
      <c r="B86" s="8"/>
      <c r="C86" s="8"/>
      <c r="D86" s="9"/>
      <c r="E86" s="12" t="str">
        <f aca="false">IF(AND(C86&lt;&gt;"",D86&lt;&gt;""),C86*D86,"")</f>
        <v/>
      </c>
      <c r="F86" s="13"/>
    </row>
    <row r="87" customFormat="false" ht="15" hidden="false" customHeight="true" outlineLevel="0" collapsed="false">
      <c r="A87" s="11"/>
      <c r="B87" s="8"/>
      <c r="C87" s="8"/>
      <c r="D87" s="9"/>
      <c r="E87" s="12" t="str">
        <f aca="false">IF(AND(C87&lt;&gt;"",D87&lt;&gt;""),C87*D87,"")</f>
        <v/>
      </c>
      <c r="F87" s="13"/>
    </row>
    <row r="88" customFormat="false" ht="15" hidden="false" customHeight="true" outlineLevel="0" collapsed="false">
      <c r="A88" s="11"/>
      <c r="B88" s="8"/>
      <c r="C88" s="8"/>
      <c r="D88" s="9"/>
      <c r="E88" s="12" t="str">
        <f aca="false">IF(AND(C88&lt;&gt;"",D88&lt;&gt;""),C88*D88,"")</f>
        <v/>
      </c>
      <c r="F88" s="13"/>
    </row>
    <row r="89" customFormat="false" ht="15" hidden="false" customHeight="true" outlineLevel="0" collapsed="false">
      <c r="A89" s="11"/>
      <c r="B89" s="8"/>
      <c r="C89" s="8"/>
      <c r="D89" s="9"/>
      <c r="E89" s="12" t="str">
        <f aca="false">IF(AND(C89&lt;&gt;"",D89&lt;&gt;""),C89*D89,"")</f>
        <v/>
      </c>
      <c r="F89" s="13"/>
    </row>
    <row r="90" customFormat="false" ht="15" hidden="false" customHeight="true" outlineLevel="0" collapsed="false">
      <c r="A90" s="11"/>
      <c r="B90" s="8"/>
      <c r="C90" s="8"/>
      <c r="D90" s="9"/>
      <c r="E90" s="12" t="str">
        <f aca="false">IF(AND(C90&lt;&gt;"",D90&lt;&gt;""),C90*D90,"")</f>
        <v/>
      </c>
      <c r="F90" s="13"/>
    </row>
    <row r="91" customFormat="false" ht="15" hidden="false" customHeight="true" outlineLevel="0" collapsed="false">
      <c r="A91" s="11"/>
      <c r="B91" s="8"/>
      <c r="C91" s="8"/>
      <c r="D91" s="9"/>
      <c r="E91" s="12" t="str">
        <f aca="false">IF(AND(C91&lt;&gt;"",D91&lt;&gt;""),C91*D91,"")</f>
        <v/>
      </c>
      <c r="F91" s="13"/>
    </row>
    <row r="92" customFormat="false" ht="15" hidden="false" customHeight="true" outlineLevel="0" collapsed="false">
      <c r="A92" s="11"/>
      <c r="B92" s="8"/>
      <c r="C92" s="8"/>
      <c r="D92" s="9"/>
      <c r="E92" s="12" t="str">
        <f aca="false">IF(AND(C92&lt;&gt;"",D92&lt;&gt;""),C92*D92,"")</f>
        <v/>
      </c>
      <c r="F92" s="13"/>
    </row>
    <row r="93" customFormat="false" ht="15" hidden="false" customHeight="true" outlineLevel="0" collapsed="false">
      <c r="A93" s="11"/>
      <c r="B93" s="8"/>
      <c r="C93" s="8"/>
      <c r="D93" s="9"/>
      <c r="E93" s="12" t="str">
        <f aca="false">IF(AND(C93&lt;&gt;"",D93&lt;&gt;""),C93*D93,"")</f>
        <v/>
      </c>
      <c r="F93" s="13"/>
    </row>
    <row r="94" customFormat="false" ht="15" hidden="false" customHeight="true" outlineLevel="0" collapsed="false">
      <c r="A94" s="11"/>
      <c r="B94" s="8"/>
      <c r="C94" s="8"/>
      <c r="D94" s="9"/>
      <c r="E94" s="12" t="str">
        <f aca="false">IF(AND(C94&lt;&gt;"",D94&lt;&gt;""),C94*D94,"")</f>
        <v/>
      </c>
      <c r="F94" s="13"/>
    </row>
    <row r="95" customFormat="false" ht="15" hidden="false" customHeight="true" outlineLevel="0" collapsed="false">
      <c r="A95" s="11"/>
      <c r="B95" s="8"/>
      <c r="C95" s="8"/>
      <c r="D95" s="9"/>
      <c r="E95" s="12" t="str">
        <f aca="false">IF(AND(C95&lt;&gt;"",D95&lt;&gt;""),C95*D95,"")</f>
        <v/>
      </c>
      <c r="F95" s="13"/>
    </row>
    <row r="96" customFormat="false" ht="15" hidden="false" customHeight="true" outlineLevel="0" collapsed="false">
      <c r="A96" s="11"/>
      <c r="B96" s="8"/>
      <c r="C96" s="8"/>
      <c r="D96" s="9"/>
      <c r="E96" s="12" t="str">
        <f aca="false">IF(AND(C96&lt;&gt;"",D96&lt;&gt;""),C96*D96,"")</f>
        <v/>
      </c>
      <c r="F96" s="13"/>
    </row>
    <row r="97" customFormat="false" ht="15" hidden="false" customHeight="true" outlineLevel="0" collapsed="false">
      <c r="A97" s="11"/>
      <c r="B97" s="8"/>
      <c r="C97" s="8"/>
      <c r="D97" s="9"/>
      <c r="E97" s="12" t="str">
        <f aca="false">IF(AND(C97&lt;&gt;"",D97&lt;&gt;""),C97*D97,"")</f>
        <v/>
      </c>
      <c r="F97" s="13"/>
    </row>
    <row r="98" customFormat="false" ht="15" hidden="false" customHeight="true" outlineLevel="0" collapsed="false">
      <c r="A98" s="11"/>
      <c r="B98" s="8"/>
      <c r="C98" s="8"/>
      <c r="D98" s="9"/>
      <c r="E98" s="12" t="str">
        <f aca="false">IF(AND(C98&lt;&gt;"",D98&lt;&gt;""),C98*D98,"")</f>
        <v/>
      </c>
      <c r="F98" s="13"/>
    </row>
    <row r="99" customFormat="false" ht="15" hidden="false" customHeight="true" outlineLevel="0" collapsed="false">
      <c r="A99" s="11"/>
      <c r="B99" s="8"/>
      <c r="C99" s="8"/>
      <c r="D99" s="9"/>
      <c r="E99" s="12" t="str">
        <f aca="false">IF(AND(C99&lt;&gt;"",D99&lt;&gt;""),C99*D99,"")</f>
        <v/>
      </c>
      <c r="F99" s="13"/>
    </row>
    <row r="100" customFormat="false" ht="15" hidden="false" customHeight="true" outlineLevel="0" collapsed="false">
      <c r="A100" s="11"/>
      <c r="B100" s="8"/>
      <c r="C100" s="8"/>
      <c r="D100" s="9"/>
      <c r="E100" s="12" t="str">
        <f aca="false">IF(AND(C100&lt;&gt;"",D100&lt;&gt;""),C100*D100,"")</f>
        <v/>
      </c>
      <c r="F100" s="13"/>
    </row>
    <row r="101" customFormat="false" ht="15" hidden="false" customHeight="true" outlineLevel="0" collapsed="false">
      <c r="A101" s="11"/>
      <c r="B101" s="8"/>
      <c r="C101" s="8"/>
      <c r="D101" s="9"/>
      <c r="E101" s="12" t="str">
        <f aca="false">IF(AND(C101&lt;&gt;"",D101&lt;&gt;""),C101*D101,"")</f>
        <v/>
      </c>
      <c r="F101" s="13"/>
    </row>
    <row r="102" customFormat="false" ht="15" hidden="false" customHeight="true" outlineLevel="0" collapsed="false">
      <c r="A102" s="11"/>
      <c r="B102" s="8"/>
      <c r="C102" s="8"/>
      <c r="D102" s="9"/>
      <c r="E102" s="12" t="str">
        <f aca="false">IF(AND(C102&lt;&gt;"",D102&lt;&gt;""),C102*D102,"")</f>
        <v/>
      </c>
      <c r="F102" s="13"/>
    </row>
    <row r="103" customFormat="false" ht="15" hidden="false" customHeight="true" outlineLevel="0" collapsed="false">
      <c r="A103" s="11"/>
      <c r="B103" s="8"/>
      <c r="C103" s="8"/>
      <c r="D103" s="9"/>
      <c r="E103" s="12" t="str">
        <f aca="false">IF(AND(C103&lt;&gt;"",D103&lt;&gt;""),C103*D103,"")</f>
        <v/>
      </c>
      <c r="F103" s="13"/>
    </row>
    <row r="104" customFormat="false" ht="15" hidden="false" customHeight="true" outlineLevel="0" collapsed="false">
      <c r="A104" s="11"/>
      <c r="B104" s="8"/>
      <c r="C104" s="8"/>
      <c r="D104" s="9"/>
      <c r="E104" s="12" t="str">
        <f aca="false">IF(AND(C104&lt;&gt;"",D104&lt;&gt;""),C104*D104,"")</f>
        <v/>
      </c>
      <c r="F104" s="13"/>
    </row>
    <row r="105" customFormat="false" ht="15" hidden="false" customHeight="true" outlineLevel="0" collapsed="false">
      <c r="A105" s="11"/>
      <c r="B105" s="8"/>
      <c r="C105" s="8"/>
      <c r="D105" s="9"/>
      <c r="E105" s="12" t="str">
        <f aca="false">IF(AND(C105&lt;&gt;"",D105&lt;&gt;""),C105*D105,"")</f>
        <v/>
      </c>
      <c r="F105" s="13"/>
    </row>
    <row r="106" customFormat="false" ht="15" hidden="false" customHeight="true" outlineLevel="0" collapsed="false">
      <c r="A106" s="11"/>
      <c r="B106" s="8"/>
      <c r="C106" s="8"/>
      <c r="D106" s="9"/>
      <c r="E106" s="12" t="str">
        <f aca="false">IF(AND(C106&lt;&gt;"",D106&lt;&gt;""),C106*D106,"")</f>
        <v/>
      </c>
      <c r="F106" s="13"/>
    </row>
    <row r="107" customFormat="false" ht="15" hidden="false" customHeight="true" outlineLevel="0" collapsed="false">
      <c r="A107" s="11"/>
      <c r="B107" s="8"/>
      <c r="C107" s="8"/>
      <c r="D107" s="9"/>
      <c r="E107" s="12" t="str">
        <f aca="false">IF(AND(C107&lt;&gt;"",D107&lt;&gt;""),C107*D107,"")</f>
        <v/>
      </c>
      <c r="F107" s="13"/>
    </row>
    <row r="108" customFormat="false" ht="15" hidden="false" customHeight="true" outlineLevel="0" collapsed="false">
      <c r="A108" s="11"/>
      <c r="B108" s="8"/>
      <c r="C108" s="8"/>
      <c r="D108" s="9"/>
      <c r="E108" s="12" t="str">
        <f aca="false">IF(AND(C108&lt;&gt;"",D108&lt;&gt;""),C108*D108,"")</f>
        <v/>
      </c>
      <c r="F108" s="13"/>
    </row>
    <row r="109" customFormat="false" ht="15" hidden="false" customHeight="true" outlineLevel="0" collapsed="false">
      <c r="A109" s="11"/>
      <c r="B109" s="8"/>
      <c r="C109" s="8"/>
      <c r="D109" s="9"/>
      <c r="E109" s="12" t="str">
        <f aca="false">IF(AND(C109&lt;&gt;"",D109&lt;&gt;""),C109*D109,"")</f>
        <v/>
      </c>
      <c r="F109" s="13"/>
    </row>
    <row r="110" customFormat="false" ht="15" hidden="false" customHeight="true" outlineLevel="0" collapsed="false">
      <c r="A110" s="11"/>
      <c r="B110" s="8"/>
      <c r="C110" s="8"/>
      <c r="D110" s="9"/>
      <c r="E110" s="12" t="str">
        <f aca="false">IF(AND(C110&lt;&gt;"",D110&lt;&gt;""),C110*D110,"")</f>
        <v/>
      </c>
      <c r="F110" s="13"/>
    </row>
    <row r="111" customFormat="false" ht="15" hidden="false" customHeight="true" outlineLevel="0" collapsed="false">
      <c r="A111" s="11"/>
      <c r="B111" s="8"/>
      <c r="C111" s="8"/>
      <c r="D111" s="9"/>
      <c r="E111" s="12" t="str">
        <f aca="false">IF(AND(C111&lt;&gt;"",D111&lt;&gt;""),C111*D111,"")</f>
        <v/>
      </c>
      <c r="F111" s="13"/>
    </row>
    <row r="112" customFormat="false" ht="15" hidden="false" customHeight="true" outlineLevel="0" collapsed="false">
      <c r="A112" s="11"/>
      <c r="B112" s="8"/>
      <c r="C112" s="8"/>
      <c r="D112" s="9"/>
      <c r="E112" s="12" t="str">
        <f aca="false">IF(AND(C112&lt;&gt;"",D112&lt;&gt;""),C112*D112,"")</f>
        <v/>
      </c>
      <c r="F112" s="13"/>
    </row>
    <row r="113" customFormat="false" ht="15" hidden="false" customHeight="true" outlineLevel="0" collapsed="false">
      <c r="A113" s="11"/>
      <c r="B113" s="8"/>
      <c r="C113" s="8"/>
      <c r="D113" s="9"/>
      <c r="E113" s="12" t="str">
        <f aca="false">IF(AND(C113&lt;&gt;"",D113&lt;&gt;""),C113*D113,"")</f>
        <v/>
      </c>
      <c r="F113" s="13"/>
    </row>
    <row r="114" customFormat="false" ht="15" hidden="false" customHeight="true" outlineLevel="0" collapsed="false">
      <c r="A114" s="11"/>
      <c r="B114" s="8"/>
      <c r="C114" s="8"/>
      <c r="D114" s="9"/>
      <c r="E114" s="12" t="str">
        <f aca="false">IF(AND(C114&lt;&gt;"",D114&lt;&gt;""),C114*D114,"")</f>
        <v/>
      </c>
      <c r="F114" s="13"/>
    </row>
    <row r="115" customFormat="false" ht="15" hidden="false" customHeight="true" outlineLevel="0" collapsed="false">
      <c r="A115" s="11"/>
      <c r="B115" s="8"/>
      <c r="C115" s="8"/>
      <c r="D115" s="9"/>
      <c r="E115" s="12" t="str">
        <f aca="false">IF(AND(C115&lt;&gt;"",D115&lt;&gt;""),C115*D115,"")</f>
        <v/>
      </c>
      <c r="F115" s="13"/>
    </row>
    <row r="116" customFormat="false" ht="15" hidden="false" customHeight="true" outlineLevel="0" collapsed="false">
      <c r="A116" s="11"/>
      <c r="B116" s="8"/>
      <c r="C116" s="8"/>
      <c r="D116" s="9"/>
      <c r="E116" s="12" t="str">
        <f aca="false">IF(AND(C116&lt;&gt;"",D116&lt;&gt;""),C116*D116,"")</f>
        <v/>
      </c>
      <c r="F116" s="13"/>
    </row>
    <row r="117" customFormat="false" ht="15" hidden="false" customHeight="true" outlineLevel="0" collapsed="false">
      <c r="A117" s="11"/>
      <c r="B117" s="8"/>
      <c r="C117" s="8"/>
      <c r="D117" s="9"/>
      <c r="E117" s="12" t="str">
        <f aca="false">IF(AND(C117&lt;&gt;"",D117&lt;&gt;""),C117*D117,"")</f>
        <v/>
      </c>
      <c r="F117" s="13"/>
    </row>
    <row r="118" customFormat="false" ht="15" hidden="false" customHeight="true" outlineLevel="0" collapsed="false">
      <c r="A118" s="11"/>
      <c r="B118" s="8"/>
      <c r="C118" s="8"/>
      <c r="D118" s="9"/>
      <c r="E118" s="12" t="str">
        <f aca="false">IF(AND(C118&lt;&gt;"",D118&lt;&gt;""),C118*D118,"")</f>
        <v/>
      </c>
      <c r="F118" s="13"/>
    </row>
    <row r="119" customFormat="false" ht="15" hidden="false" customHeight="true" outlineLevel="0" collapsed="false">
      <c r="A119" s="11"/>
      <c r="B119" s="8"/>
      <c r="C119" s="8"/>
      <c r="D119" s="9"/>
      <c r="E119" s="12" t="str">
        <f aca="false">IF(AND(C119&lt;&gt;"",D119&lt;&gt;""),C119*D119,"")</f>
        <v/>
      </c>
      <c r="F119" s="13"/>
    </row>
    <row r="120" customFormat="false" ht="15" hidden="false" customHeight="true" outlineLevel="0" collapsed="false">
      <c r="A120" s="11"/>
      <c r="B120" s="8"/>
      <c r="C120" s="8"/>
      <c r="D120" s="9"/>
      <c r="E120" s="12" t="str">
        <f aca="false">IF(AND(C120&lt;&gt;"",D120&lt;&gt;""),C120*D120,"")</f>
        <v/>
      </c>
      <c r="F120" s="13"/>
    </row>
    <row r="121" customFormat="false" ht="15" hidden="false" customHeight="true" outlineLevel="0" collapsed="false">
      <c r="A121" s="11"/>
      <c r="B121" s="8"/>
      <c r="C121" s="8"/>
      <c r="D121" s="9"/>
      <c r="E121" s="12" t="str">
        <f aca="false">IF(AND(C121&lt;&gt;"",D121&lt;&gt;""),C121*D121,"")</f>
        <v/>
      </c>
      <c r="F121" s="13"/>
    </row>
    <row r="122" customFormat="false" ht="15" hidden="false" customHeight="true" outlineLevel="0" collapsed="false">
      <c r="A122" s="11"/>
      <c r="B122" s="8"/>
      <c r="C122" s="8"/>
      <c r="D122" s="9"/>
      <c r="E122" s="12" t="str">
        <f aca="false">IF(AND(C122&lt;&gt;"",D122&lt;&gt;""),C122*D122,"")</f>
        <v/>
      </c>
      <c r="F122" s="13"/>
    </row>
    <row r="123" customFormat="false" ht="15" hidden="false" customHeight="true" outlineLevel="0" collapsed="false">
      <c r="A123" s="11"/>
      <c r="B123" s="8"/>
      <c r="C123" s="8"/>
      <c r="D123" s="9"/>
      <c r="E123" s="12" t="str">
        <f aca="false">IF(AND(C123&lt;&gt;"",D123&lt;&gt;""),C123*D123,"")</f>
        <v/>
      </c>
      <c r="F123" s="13"/>
    </row>
    <row r="124" customFormat="false" ht="15" hidden="false" customHeight="true" outlineLevel="0" collapsed="false">
      <c r="A124" s="11"/>
      <c r="B124" s="8"/>
      <c r="C124" s="8"/>
      <c r="D124" s="9"/>
      <c r="E124" s="12" t="str">
        <f aca="false">IF(AND(C124&lt;&gt;"",D124&lt;&gt;""),C124*D124,"")</f>
        <v/>
      </c>
      <c r="F124" s="13"/>
    </row>
    <row r="125" customFormat="false" ht="15" hidden="false" customHeight="true" outlineLevel="0" collapsed="false">
      <c r="A125" s="11"/>
      <c r="B125" s="8"/>
      <c r="C125" s="8"/>
      <c r="D125" s="9"/>
      <c r="E125" s="12" t="str">
        <f aca="false">IF(AND(C125&lt;&gt;"",D125&lt;&gt;""),C125*D125,"")</f>
        <v/>
      </c>
      <c r="F125" s="13"/>
    </row>
    <row r="126" customFormat="false" ht="15" hidden="false" customHeight="true" outlineLevel="0" collapsed="false">
      <c r="A126" s="11"/>
      <c r="B126" s="8"/>
      <c r="C126" s="8"/>
      <c r="D126" s="9"/>
      <c r="E126" s="12" t="str">
        <f aca="false">IF(AND(C126&lt;&gt;"",D126&lt;&gt;""),C126*D126,"")</f>
        <v/>
      </c>
      <c r="F126" s="13"/>
    </row>
    <row r="127" customFormat="false" ht="15" hidden="false" customHeight="true" outlineLevel="0" collapsed="false">
      <c r="A127" s="11"/>
      <c r="B127" s="8"/>
      <c r="C127" s="8"/>
      <c r="D127" s="9"/>
      <c r="E127" s="12" t="str">
        <f aca="false">IF(AND(C127&lt;&gt;"",D127&lt;&gt;""),C127*D127,"")</f>
        <v/>
      </c>
      <c r="F127" s="13"/>
    </row>
    <row r="128" customFormat="false" ht="15" hidden="false" customHeight="true" outlineLevel="0" collapsed="false">
      <c r="A128" s="11"/>
      <c r="B128" s="8"/>
      <c r="C128" s="8"/>
      <c r="D128" s="9"/>
      <c r="E128" s="12" t="str">
        <f aca="false">IF(AND(C128&lt;&gt;"",D128&lt;&gt;""),C128*D128,"")</f>
        <v/>
      </c>
      <c r="F128" s="13"/>
    </row>
    <row r="129" customFormat="false" ht="15" hidden="false" customHeight="true" outlineLevel="0" collapsed="false">
      <c r="A129" s="11"/>
      <c r="B129" s="8"/>
      <c r="C129" s="8"/>
      <c r="D129" s="9"/>
      <c r="E129" s="12" t="str">
        <f aca="false">IF(AND(C129&lt;&gt;"",D129&lt;&gt;""),C129*D129,"")</f>
        <v/>
      </c>
      <c r="F129" s="13"/>
    </row>
    <row r="130" customFormat="false" ht="15" hidden="false" customHeight="true" outlineLevel="0" collapsed="false">
      <c r="A130" s="11"/>
      <c r="B130" s="8"/>
      <c r="C130" s="8"/>
      <c r="D130" s="9"/>
      <c r="E130" s="12" t="str">
        <f aca="false">IF(AND(C130&lt;&gt;"",D130&lt;&gt;""),C130*D130,"")</f>
        <v/>
      </c>
      <c r="F130" s="13"/>
    </row>
    <row r="131" customFormat="false" ht="15" hidden="false" customHeight="true" outlineLevel="0" collapsed="false">
      <c r="A131" s="11"/>
      <c r="B131" s="8"/>
      <c r="C131" s="8"/>
      <c r="D131" s="9"/>
      <c r="E131" s="12" t="str">
        <f aca="false">IF(AND(C131&lt;&gt;"",D131&lt;&gt;""),C131*D131,"")</f>
        <v/>
      </c>
      <c r="F131" s="13"/>
    </row>
    <row r="132" customFormat="false" ht="15" hidden="false" customHeight="true" outlineLevel="0" collapsed="false">
      <c r="A132" s="11"/>
      <c r="B132" s="8"/>
      <c r="C132" s="8"/>
      <c r="D132" s="9"/>
      <c r="E132" s="12" t="str">
        <f aca="false">IF(AND(C132&lt;&gt;"",D132&lt;&gt;""),C132*D132,"")</f>
        <v/>
      </c>
      <c r="F132" s="13"/>
    </row>
    <row r="133" customFormat="false" ht="15" hidden="false" customHeight="true" outlineLevel="0" collapsed="false">
      <c r="A133" s="11"/>
      <c r="B133" s="8"/>
      <c r="C133" s="8"/>
      <c r="D133" s="9"/>
      <c r="E133" s="12" t="str">
        <f aca="false">IF(AND(C133&lt;&gt;"",D133&lt;&gt;""),C133*D133,"")</f>
        <v/>
      </c>
      <c r="F133" s="13"/>
    </row>
    <row r="134" customFormat="false" ht="15" hidden="false" customHeight="true" outlineLevel="0" collapsed="false">
      <c r="A134" s="11"/>
      <c r="B134" s="8"/>
      <c r="C134" s="8"/>
      <c r="D134" s="9"/>
      <c r="E134" s="12" t="str">
        <f aca="false">IF(AND(C134&lt;&gt;"",D134&lt;&gt;""),C134*D134,"")</f>
        <v/>
      </c>
      <c r="F134" s="13"/>
    </row>
    <row r="135" customFormat="false" ht="15" hidden="false" customHeight="true" outlineLevel="0" collapsed="false">
      <c r="A135" s="11"/>
      <c r="B135" s="8"/>
      <c r="C135" s="8"/>
      <c r="D135" s="9"/>
      <c r="E135" s="12" t="str">
        <f aca="false">IF(AND(C135&lt;&gt;"",D135&lt;&gt;""),C135*D135,"")</f>
        <v/>
      </c>
      <c r="F135" s="13"/>
    </row>
    <row r="136" customFormat="false" ht="15" hidden="false" customHeight="true" outlineLevel="0" collapsed="false">
      <c r="A136" s="11"/>
      <c r="B136" s="8"/>
      <c r="C136" s="8"/>
      <c r="D136" s="9"/>
      <c r="E136" s="12" t="str">
        <f aca="false">IF(AND(C136&lt;&gt;"",D136&lt;&gt;""),C136*D136,"")</f>
        <v/>
      </c>
      <c r="F136" s="13"/>
    </row>
    <row r="137" customFormat="false" ht="15" hidden="false" customHeight="true" outlineLevel="0" collapsed="false">
      <c r="A137" s="11"/>
      <c r="B137" s="8"/>
      <c r="C137" s="8"/>
      <c r="D137" s="9"/>
      <c r="E137" s="12" t="str">
        <f aca="false">IF(AND(C137&lt;&gt;"",D137&lt;&gt;""),C137*D137,"")</f>
        <v/>
      </c>
      <c r="F137" s="13"/>
    </row>
    <row r="138" customFormat="false" ht="15" hidden="false" customHeight="true" outlineLevel="0" collapsed="false">
      <c r="A138" s="11"/>
      <c r="B138" s="8"/>
      <c r="C138" s="8"/>
      <c r="D138" s="9"/>
      <c r="E138" s="12" t="str">
        <f aca="false">IF(AND(C138&lt;&gt;"",D138&lt;&gt;""),C138*D138,"")</f>
        <v/>
      </c>
      <c r="F138" s="13"/>
    </row>
    <row r="139" customFormat="false" ht="15" hidden="false" customHeight="true" outlineLevel="0" collapsed="false">
      <c r="A139" s="11"/>
      <c r="B139" s="8"/>
      <c r="C139" s="8"/>
      <c r="D139" s="9"/>
      <c r="E139" s="12" t="str">
        <f aca="false">IF(AND(C139&lt;&gt;"",D139&lt;&gt;""),C139*D139,"")</f>
        <v/>
      </c>
      <c r="F139" s="13"/>
    </row>
    <row r="140" customFormat="false" ht="15" hidden="false" customHeight="true" outlineLevel="0" collapsed="false">
      <c r="A140" s="11"/>
      <c r="B140" s="8"/>
      <c r="C140" s="8"/>
      <c r="D140" s="9"/>
      <c r="E140" s="12" t="str">
        <f aca="false">IF(AND(C140&lt;&gt;"",D140&lt;&gt;""),C140*D140,"")</f>
        <v/>
      </c>
      <c r="F140" s="13"/>
    </row>
    <row r="141" customFormat="false" ht="15" hidden="false" customHeight="true" outlineLevel="0" collapsed="false">
      <c r="A141" s="11"/>
      <c r="B141" s="8"/>
      <c r="C141" s="8"/>
      <c r="D141" s="9"/>
      <c r="E141" s="12" t="str">
        <f aca="false">IF(AND(C141&lt;&gt;"",D141&lt;&gt;""),C141*D141,"")</f>
        <v/>
      </c>
      <c r="F141" s="13"/>
    </row>
    <row r="142" customFormat="false" ht="15" hidden="false" customHeight="true" outlineLevel="0" collapsed="false">
      <c r="A142" s="11"/>
      <c r="B142" s="8"/>
      <c r="C142" s="8"/>
      <c r="D142" s="9"/>
      <c r="E142" s="12" t="str">
        <f aca="false">IF(AND(C142&lt;&gt;"",D142&lt;&gt;""),C142*D142,"")</f>
        <v/>
      </c>
      <c r="F142" s="13"/>
    </row>
    <row r="143" customFormat="false" ht="15" hidden="false" customHeight="true" outlineLevel="0" collapsed="false">
      <c r="A143" s="11"/>
      <c r="B143" s="8"/>
      <c r="C143" s="8"/>
      <c r="D143" s="9"/>
      <c r="E143" s="12" t="str">
        <f aca="false">IF(AND(C143&lt;&gt;"",D143&lt;&gt;""),C143*D143,"")</f>
        <v/>
      </c>
      <c r="F143" s="13"/>
    </row>
    <row r="144" customFormat="false" ht="15" hidden="false" customHeight="true" outlineLevel="0" collapsed="false">
      <c r="A144" s="11"/>
      <c r="B144" s="8"/>
      <c r="C144" s="8"/>
      <c r="D144" s="9"/>
      <c r="E144" s="12" t="str">
        <f aca="false">IF(AND(C144&lt;&gt;"",D144&lt;&gt;""),C144*D144,"")</f>
        <v/>
      </c>
      <c r="F144" s="13"/>
    </row>
    <row r="145" customFormat="false" ht="15" hidden="false" customHeight="true" outlineLevel="0" collapsed="false">
      <c r="A145" s="11"/>
      <c r="B145" s="8"/>
      <c r="C145" s="8"/>
      <c r="D145" s="9"/>
      <c r="E145" s="12" t="str">
        <f aca="false">IF(AND(C145&lt;&gt;"",D145&lt;&gt;""),C145*D145,"")</f>
        <v/>
      </c>
      <c r="F145" s="13"/>
    </row>
    <row r="146" customFormat="false" ht="15" hidden="false" customHeight="true" outlineLevel="0" collapsed="false">
      <c r="A146" s="11"/>
      <c r="B146" s="8"/>
      <c r="C146" s="8"/>
      <c r="D146" s="9"/>
      <c r="E146" s="12" t="str">
        <f aca="false">IF(AND(C146&lt;&gt;"",D146&lt;&gt;""),C146*D146,"")</f>
        <v/>
      </c>
      <c r="F146" s="13"/>
    </row>
    <row r="147" customFormat="false" ht="15" hidden="false" customHeight="true" outlineLevel="0" collapsed="false">
      <c r="A147" s="11"/>
      <c r="B147" s="8"/>
      <c r="C147" s="8"/>
      <c r="D147" s="9"/>
      <c r="E147" s="12" t="str">
        <f aca="false">IF(AND(C147&lt;&gt;"",D147&lt;&gt;""),C147*D147,"")</f>
        <v/>
      </c>
      <c r="F147" s="13"/>
    </row>
    <row r="148" customFormat="false" ht="15" hidden="false" customHeight="true" outlineLevel="0" collapsed="false">
      <c r="A148" s="11"/>
      <c r="B148" s="8"/>
      <c r="C148" s="8"/>
      <c r="D148" s="9"/>
      <c r="E148" s="12" t="str">
        <f aca="false">IF(AND(C148&lt;&gt;"",D148&lt;&gt;""),C148*D148,"")</f>
        <v/>
      </c>
      <c r="F148" s="13"/>
    </row>
    <row r="149" customFormat="false" ht="15" hidden="false" customHeight="true" outlineLevel="0" collapsed="false">
      <c r="A149" s="11"/>
      <c r="B149" s="8"/>
      <c r="C149" s="8"/>
      <c r="D149" s="9"/>
      <c r="E149" s="12" t="str">
        <f aca="false">IF(AND(C149&lt;&gt;"",D149&lt;&gt;""),C149*D149,"")</f>
        <v/>
      </c>
      <c r="F149" s="13"/>
    </row>
    <row r="150" customFormat="false" ht="15" hidden="false" customHeight="true" outlineLevel="0" collapsed="false">
      <c r="A150" s="11"/>
      <c r="B150" s="8"/>
      <c r="C150" s="8"/>
      <c r="D150" s="9"/>
      <c r="E150" s="12" t="str">
        <f aca="false">IF(AND(C150&lt;&gt;"",D150&lt;&gt;""),C150*D150,"")</f>
        <v/>
      </c>
      <c r="F150" s="13"/>
    </row>
    <row r="151" customFormat="false" ht="15" hidden="false" customHeight="true" outlineLevel="0" collapsed="false">
      <c r="A151" s="11"/>
      <c r="B151" s="8"/>
      <c r="C151" s="8"/>
      <c r="D151" s="9"/>
      <c r="E151" s="12" t="str">
        <f aca="false">IF(AND(C151&lt;&gt;"",D151&lt;&gt;""),C151*D151,"")</f>
        <v/>
      </c>
      <c r="F151" s="13"/>
    </row>
    <row r="152" customFormat="false" ht="15" hidden="false" customHeight="true" outlineLevel="0" collapsed="false">
      <c r="A152" s="11"/>
      <c r="B152" s="8"/>
      <c r="C152" s="8"/>
      <c r="D152" s="9"/>
      <c r="E152" s="12" t="str">
        <f aca="false">IF(AND(C152&lt;&gt;"",D152&lt;&gt;""),C152*D152,"")</f>
        <v/>
      </c>
      <c r="F152" s="13"/>
    </row>
    <row r="153" customFormat="false" ht="15" hidden="false" customHeight="true" outlineLevel="0" collapsed="false">
      <c r="A153" s="11"/>
      <c r="B153" s="8"/>
      <c r="C153" s="8"/>
      <c r="D153" s="9"/>
      <c r="E153" s="12" t="str">
        <f aca="false">IF(AND(C153&lt;&gt;"",D153&lt;&gt;""),C153*D153,"")</f>
        <v/>
      </c>
      <c r="F153" s="13"/>
    </row>
    <row r="154" customFormat="false" ht="15" hidden="false" customHeight="true" outlineLevel="0" collapsed="false">
      <c r="A154" s="11"/>
      <c r="B154" s="8"/>
      <c r="C154" s="8"/>
      <c r="D154" s="9"/>
      <c r="E154" s="12" t="str">
        <f aca="false">IF(AND(C154&lt;&gt;"",D154&lt;&gt;""),C154*D154,"")</f>
        <v/>
      </c>
      <c r="F154" s="13"/>
    </row>
    <row r="155" customFormat="false" ht="15" hidden="false" customHeight="true" outlineLevel="0" collapsed="false">
      <c r="A155" s="11"/>
      <c r="B155" s="8"/>
      <c r="C155" s="8"/>
      <c r="D155" s="9"/>
      <c r="E155" s="12" t="str">
        <f aca="false">IF(AND(C155&lt;&gt;"",D155&lt;&gt;""),C155*D155,"")</f>
        <v/>
      </c>
      <c r="F155" s="13"/>
    </row>
    <row r="156" customFormat="false" ht="15" hidden="false" customHeight="true" outlineLevel="0" collapsed="false">
      <c r="A156" s="11"/>
      <c r="B156" s="8"/>
      <c r="C156" s="8"/>
      <c r="D156" s="9"/>
      <c r="E156" s="12" t="str">
        <f aca="false">IF(AND(C156&lt;&gt;"",D156&lt;&gt;""),C156*D156,"")</f>
        <v/>
      </c>
      <c r="F156" s="13"/>
    </row>
    <row r="157" customFormat="false" ht="15" hidden="false" customHeight="true" outlineLevel="0" collapsed="false">
      <c r="A157" s="11"/>
      <c r="B157" s="8"/>
      <c r="C157" s="8"/>
      <c r="D157" s="9"/>
      <c r="E157" s="12" t="str">
        <f aca="false">IF(AND(C157&lt;&gt;"",D157&lt;&gt;""),C157*D157,"")</f>
        <v/>
      </c>
      <c r="F157" s="13"/>
    </row>
    <row r="158" customFormat="false" ht="15" hidden="false" customHeight="true" outlineLevel="0" collapsed="false">
      <c r="A158" s="11"/>
      <c r="B158" s="8"/>
      <c r="C158" s="8"/>
      <c r="D158" s="9"/>
      <c r="E158" s="12" t="str">
        <f aca="false">IF(AND(C158&lt;&gt;"",D158&lt;&gt;""),C158*D158,"")</f>
        <v/>
      </c>
      <c r="F158" s="13"/>
    </row>
    <row r="159" customFormat="false" ht="15" hidden="false" customHeight="true" outlineLevel="0" collapsed="false">
      <c r="A159" s="11"/>
      <c r="B159" s="8"/>
      <c r="C159" s="8"/>
      <c r="D159" s="9"/>
      <c r="E159" s="12" t="str">
        <f aca="false">IF(AND(C159&lt;&gt;"",D159&lt;&gt;""),C159*D159,"")</f>
        <v/>
      </c>
      <c r="F159" s="13"/>
    </row>
    <row r="160" customFormat="false" ht="15" hidden="false" customHeight="true" outlineLevel="0" collapsed="false">
      <c r="A160" s="11"/>
      <c r="B160" s="8"/>
      <c r="C160" s="8"/>
      <c r="D160" s="9"/>
      <c r="E160" s="12" t="str">
        <f aca="false">IF(AND(C160&lt;&gt;"",D160&lt;&gt;""),C160*D160,"")</f>
        <v/>
      </c>
      <c r="F160" s="13"/>
    </row>
    <row r="161" customFormat="false" ht="15" hidden="false" customHeight="true" outlineLevel="0" collapsed="false">
      <c r="A161" s="11"/>
      <c r="B161" s="8"/>
      <c r="C161" s="8"/>
      <c r="D161" s="9"/>
      <c r="E161" s="12" t="str">
        <f aca="false">IF(AND(C161&lt;&gt;"",D161&lt;&gt;""),C161*D161,"")</f>
        <v/>
      </c>
      <c r="F161" s="13"/>
    </row>
    <row r="162" customFormat="false" ht="15" hidden="false" customHeight="true" outlineLevel="0" collapsed="false">
      <c r="A162" s="11"/>
      <c r="B162" s="8"/>
      <c r="C162" s="8"/>
      <c r="D162" s="9"/>
      <c r="E162" s="12" t="str">
        <f aca="false">IF(AND(C162&lt;&gt;"",D162&lt;&gt;""),C162*D162,"")</f>
        <v/>
      </c>
      <c r="F162" s="13"/>
    </row>
    <row r="163" customFormat="false" ht="15" hidden="false" customHeight="true" outlineLevel="0" collapsed="false">
      <c r="A163" s="11"/>
      <c r="B163" s="8"/>
      <c r="C163" s="8"/>
      <c r="D163" s="9"/>
      <c r="E163" s="12" t="str">
        <f aca="false">IF(AND(C163&lt;&gt;"",D163&lt;&gt;""),C163*D163,"")</f>
        <v/>
      </c>
      <c r="F163" s="13"/>
    </row>
    <row r="164" customFormat="false" ht="15" hidden="false" customHeight="true" outlineLevel="0" collapsed="false">
      <c r="A164" s="11"/>
      <c r="B164" s="8"/>
      <c r="C164" s="8"/>
      <c r="D164" s="9"/>
      <c r="E164" s="12" t="str">
        <f aca="false">IF(AND(C164&lt;&gt;"",D164&lt;&gt;""),C164*D164,"")</f>
        <v/>
      </c>
      <c r="F164" s="13"/>
    </row>
    <row r="165" customFormat="false" ht="15" hidden="false" customHeight="true" outlineLevel="0" collapsed="false">
      <c r="A165" s="11"/>
      <c r="B165" s="8"/>
      <c r="C165" s="8"/>
      <c r="D165" s="9"/>
      <c r="E165" s="12" t="str">
        <f aca="false">IF(AND(C165&lt;&gt;"",D165&lt;&gt;""),C165*D165,"")</f>
        <v/>
      </c>
      <c r="F165" s="13"/>
    </row>
    <row r="166" customFormat="false" ht="15" hidden="false" customHeight="true" outlineLevel="0" collapsed="false">
      <c r="A166" s="11"/>
      <c r="B166" s="8"/>
      <c r="C166" s="8"/>
      <c r="D166" s="9"/>
      <c r="E166" s="12" t="str">
        <f aca="false">IF(AND(C166&lt;&gt;"",D166&lt;&gt;""),C166*D166,"")</f>
        <v/>
      </c>
      <c r="F166" s="13"/>
    </row>
    <row r="167" customFormat="false" ht="15" hidden="false" customHeight="true" outlineLevel="0" collapsed="false">
      <c r="A167" s="11"/>
      <c r="B167" s="8"/>
      <c r="C167" s="8"/>
      <c r="D167" s="9"/>
      <c r="E167" s="12" t="str">
        <f aca="false">IF(AND(C167&lt;&gt;"",D167&lt;&gt;""),C167*D167,"")</f>
        <v/>
      </c>
      <c r="F167" s="13"/>
    </row>
    <row r="168" customFormat="false" ht="15" hidden="false" customHeight="true" outlineLevel="0" collapsed="false">
      <c r="A168" s="11"/>
      <c r="B168" s="8"/>
      <c r="C168" s="8"/>
      <c r="D168" s="9"/>
      <c r="E168" s="12" t="str">
        <f aca="false">IF(AND(C168&lt;&gt;"",D168&lt;&gt;""),C168*D168,"")</f>
        <v/>
      </c>
      <c r="F168" s="13"/>
    </row>
    <row r="169" customFormat="false" ht="15" hidden="false" customHeight="true" outlineLevel="0" collapsed="false">
      <c r="A169" s="11"/>
      <c r="B169" s="8"/>
      <c r="C169" s="8"/>
      <c r="D169" s="9"/>
      <c r="E169" s="12" t="str">
        <f aca="false">IF(AND(C169&lt;&gt;"",D169&lt;&gt;""),C169*D169,"")</f>
        <v/>
      </c>
      <c r="F169" s="13"/>
    </row>
    <row r="170" customFormat="false" ht="15" hidden="false" customHeight="true" outlineLevel="0" collapsed="false">
      <c r="A170" s="11"/>
      <c r="B170" s="8"/>
      <c r="C170" s="8"/>
      <c r="D170" s="9"/>
      <c r="E170" s="12" t="str">
        <f aca="false">IF(AND(C170&lt;&gt;"",D170&lt;&gt;""),C170*D170,"")</f>
        <v/>
      </c>
      <c r="F170" s="13"/>
    </row>
    <row r="171" customFormat="false" ht="15" hidden="false" customHeight="true" outlineLevel="0" collapsed="false">
      <c r="A171" s="11"/>
      <c r="B171" s="8"/>
      <c r="C171" s="8"/>
      <c r="D171" s="9"/>
      <c r="E171" s="12" t="str">
        <f aca="false">IF(AND(C171&lt;&gt;"",D171&lt;&gt;""),C171*D171,"")</f>
        <v/>
      </c>
      <c r="F171" s="13"/>
    </row>
    <row r="172" customFormat="false" ht="15" hidden="false" customHeight="true" outlineLevel="0" collapsed="false">
      <c r="A172" s="11"/>
      <c r="B172" s="8"/>
      <c r="C172" s="8"/>
      <c r="D172" s="9"/>
      <c r="E172" s="12" t="str">
        <f aca="false">IF(AND(C172&lt;&gt;"",D172&lt;&gt;""),C172*D172,"")</f>
        <v/>
      </c>
      <c r="F172" s="13"/>
    </row>
    <row r="173" customFormat="false" ht="15" hidden="false" customHeight="true" outlineLevel="0" collapsed="false">
      <c r="A173" s="11"/>
      <c r="B173" s="8"/>
      <c r="C173" s="8"/>
      <c r="D173" s="9"/>
      <c r="E173" s="12" t="str">
        <f aca="false">IF(AND(C173&lt;&gt;"",D173&lt;&gt;""),C173*D173,"")</f>
        <v/>
      </c>
      <c r="F173" s="13"/>
    </row>
    <row r="174" customFormat="false" ht="15" hidden="false" customHeight="true" outlineLevel="0" collapsed="false">
      <c r="A174" s="11"/>
      <c r="B174" s="8"/>
      <c r="C174" s="8"/>
      <c r="D174" s="9"/>
      <c r="E174" s="12" t="str">
        <f aca="false">IF(AND(C174&lt;&gt;"",D174&lt;&gt;""),C174*D174,"")</f>
        <v/>
      </c>
      <c r="F174" s="13"/>
    </row>
    <row r="175" customFormat="false" ht="15" hidden="false" customHeight="true" outlineLevel="0" collapsed="false">
      <c r="A175" s="11"/>
      <c r="B175" s="8"/>
      <c r="C175" s="8"/>
      <c r="D175" s="9"/>
      <c r="E175" s="12" t="str">
        <f aca="false">IF(AND(C175&lt;&gt;"",D175&lt;&gt;""),C175*D175,"")</f>
        <v/>
      </c>
      <c r="F175" s="13"/>
    </row>
    <row r="176" customFormat="false" ht="15" hidden="false" customHeight="true" outlineLevel="0" collapsed="false">
      <c r="A176" s="11"/>
      <c r="B176" s="8"/>
      <c r="C176" s="8"/>
      <c r="D176" s="9"/>
      <c r="E176" s="12" t="str">
        <f aca="false">IF(AND(C176&lt;&gt;"",D176&lt;&gt;""),C176*D176,"")</f>
        <v/>
      </c>
      <c r="F176" s="13"/>
    </row>
    <row r="177" customFormat="false" ht="15" hidden="false" customHeight="true" outlineLevel="0" collapsed="false">
      <c r="A177" s="11"/>
      <c r="B177" s="8"/>
      <c r="C177" s="8"/>
      <c r="D177" s="9"/>
      <c r="E177" s="12" t="str">
        <f aca="false">IF(AND(C177&lt;&gt;"",D177&lt;&gt;""),C177*D177,"")</f>
        <v/>
      </c>
      <c r="F177" s="13"/>
    </row>
    <row r="178" customFormat="false" ht="15" hidden="false" customHeight="true" outlineLevel="0" collapsed="false">
      <c r="A178" s="11"/>
      <c r="B178" s="8"/>
      <c r="C178" s="8"/>
      <c r="D178" s="9"/>
      <c r="E178" s="12" t="str">
        <f aca="false">IF(AND(C178&lt;&gt;"",D178&lt;&gt;""),C178*D178,"")</f>
        <v/>
      </c>
      <c r="F178" s="13"/>
    </row>
    <row r="179" customFormat="false" ht="15" hidden="false" customHeight="true" outlineLevel="0" collapsed="false">
      <c r="A179" s="11"/>
      <c r="B179" s="8"/>
      <c r="C179" s="8"/>
      <c r="D179" s="9"/>
      <c r="E179" s="12" t="str">
        <f aca="false">IF(AND(C179&lt;&gt;"",D179&lt;&gt;""),C179*D179,"")</f>
        <v/>
      </c>
      <c r="F179" s="13"/>
    </row>
    <row r="180" customFormat="false" ht="15" hidden="false" customHeight="true" outlineLevel="0" collapsed="false">
      <c r="A180" s="11"/>
      <c r="B180" s="8"/>
      <c r="C180" s="8"/>
      <c r="D180" s="9"/>
      <c r="E180" s="12" t="str">
        <f aca="false">IF(AND(C180&lt;&gt;"",D180&lt;&gt;""),C180*D180,"")</f>
        <v/>
      </c>
      <c r="F180" s="13"/>
    </row>
    <row r="181" customFormat="false" ht="15" hidden="false" customHeight="true" outlineLevel="0" collapsed="false">
      <c r="A181" s="11"/>
      <c r="B181" s="8"/>
      <c r="C181" s="8"/>
      <c r="D181" s="9"/>
      <c r="E181" s="12" t="str">
        <f aca="false">IF(AND(C181&lt;&gt;"",D181&lt;&gt;""),C181*D181,"")</f>
        <v/>
      </c>
      <c r="F181" s="13"/>
    </row>
    <row r="182" customFormat="false" ht="15" hidden="false" customHeight="true" outlineLevel="0" collapsed="false">
      <c r="A182" s="11"/>
      <c r="B182" s="8"/>
      <c r="C182" s="8"/>
      <c r="D182" s="9"/>
      <c r="E182" s="12" t="str">
        <f aca="false">IF(AND(C182&lt;&gt;"",D182&lt;&gt;""),C182*D182,"")</f>
        <v/>
      </c>
      <c r="F182" s="13"/>
    </row>
    <row r="183" customFormat="false" ht="15" hidden="false" customHeight="true" outlineLevel="0" collapsed="false">
      <c r="A183" s="11"/>
      <c r="B183" s="8"/>
      <c r="C183" s="8"/>
      <c r="D183" s="9"/>
      <c r="E183" s="12" t="str">
        <f aca="false">IF(AND(C183&lt;&gt;"",D183&lt;&gt;""),C183*D183,"")</f>
        <v/>
      </c>
      <c r="F183" s="13"/>
    </row>
    <row r="184" customFormat="false" ht="15" hidden="false" customHeight="true" outlineLevel="0" collapsed="false">
      <c r="A184" s="11"/>
      <c r="B184" s="8"/>
      <c r="C184" s="8"/>
      <c r="D184" s="9"/>
      <c r="E184" s="12" t="str">
        <f aca="false">IF(AND(C184&lt;&gt;"",D184&lt;&gt;""),C184*D184,"")</f>
        <v/>
      </c>
      <c r="F184" s="13"/>
    </row>
    <row r="185" customFormat="false" ht="15" hidden="false" customHeight="true" outlineLevel="0" collapsed="false">
      <c r="A185" s="11"/>
      <c r="B185" s="8"/>
      <c r="C185" s="8"/>
      <c r="D185" s="9"/>
      <c r="E185" s="12" t="str">
        <f aca="false">IF(AND(C185&lt;&gt;"",D185&lt;&gt;""),C185*D185,"")</f>
        <v/>
      </c>
      <c r="F185" s="13"/>
    </row>
    <row r="186" customFormat="false" ht="15" hidden="false" customHeight="true" outlineLevel="0" collapsed="false">
      <c r="A186" s="11"/>
      <c r="B186" s="8"/>
      <c r="C186" s="8"/>
      <c r="D186" s="9"/>
      <c r="E186" s="12" t="str">
        <f aca="false">IF(AND(C186&lt;&gt;"",D186&lt;&gt;""),C186*D186,"")</f>
        <v/>
      </c>
      <c r="F186" s="13"/>
    </row>
    <row r="187" customFormat="false" ht="15" hidden="false" customHeight="true" outlineLevel="0" collapsed="false">
      <c r="A187" s="11"/>
      <c r="B187" s="8"/>
      <c r="C187" s="8"/>
      <c r="D187" s="9"/>
      <c r="E187" s="12" t="str">
        <f aca="false">IF(AND(C187&lt;&gt;"",D187&lt;&gt;""),C187*D187,"")</f>
        <v/>
      </c>
      <c r="F187" s="13"/>
    </row>
    <row r="188" customFormat="false" ht="15" hidden="false" customHeight="true" outlineLevel="0" collapsed="false">
      <c r="A188" s="11"/>
      <c r="B188" s="8"/>
      <c r="C188" s="8"/>
      <c r="D188" s="9"/>
      <c r="E188" s="12" t="str">
        <f aca="false">IF(AND(C188&lt;&gt;"",D188&lt;&gt;""),C188*D188,"")</f>
        <v/>
      </c>
      <c r="F188" s="13"/>
    </row>
    <row r="189" customFormat="false" ht="15" hidden="false" customHeight="true" outlineLevel="0" collapsed="false">
      <c r="A189" s="11"/>
      <c r="B189" s="8"/>
      <c r="C189" s="8"/>
      <c r="D189" s="9"/>
      <c r="E189" s="12" t="str">
        <f aca="false">IF(AND(C189&lt;&gt;"",D189&lt;&gt;""),C189*D189,"")</f>
        <v/>
      </c>
      <c r="F189" s="13"/>
    </row>
    <row r="190" customFormat="false" ht="15" hidden="false" customHeight="true" outlineLevel="0" collapsed="false">
      <c r="A190" s="11"/>
      <c r="B190" s="8"/>
      <c r="C190" s="8"/>
      <c r="D190" s="9"/>
      <c r="E190" s="12" t="str">
        <f aca="false">IF(AND(C190&lt;&gt;"",D190&lt;&gt;""),C190*D190,"")</f>
        <v/>
      </c>
      <c r="F190" s="13"/>
    </row>
    <row r="191" customFormat="false" ht="15" hidden="false" customHeight="true" outlineLevel="0" collapsed="false">
      <c r="A191" s="11"/>
      <c r="B191" s="8"/>
      <c r="C191" s="8"/>
      <c r="D191" s="9"/>
      <c r="E191" s="12" t="str">
        <f aca="false">IF(AND(C191&lt;&gt;"",D191&lt;&gt;""),C191*D191,"")</f>
        <v/>
      </c>
      <c r="F191" s="13"/>
    </row>
    <row r="192" customFormat="false" ht="15" hidden="false" customHeight="true" outlineLevel="0" collapsed="false">
      <c r="A192" s="11"/>
      <c r="B192" s="8"/>
      <c r="C192" s="8"/>
      <c r="D192" s="9"/>
      <c r="E192" s="12" t="str">
        <f aca="false">IF(AND(C192&lt;&gt;"",D192&lt;&gt;""),C192*D192,"")</f>
        <v/>
      </c>
      <c r="F192" s="13"/>
    </row>
    <row r="193" customFormat="false" ht="15" hidden="false" customHeight="true" outlineLevel="0" collapsed="false">
      <c r="A193" s="11"/>
      <c r="B193" s="8"/>
      <c r="C193" s="8"/>
      <c r="D193" s="9"/>
      <c r="E193" s="12" t="str">
        <f aca="false">IF(AND(C193&lt;&gt;"",D193&lt;&gt;""),C193*D193,"")</f>
        <v/>
      </c>
      <c r="F193" s="13"/>
    </row>
    <row r="194" customFormat="false" ht="15" hidden="false" customHeight="true" outlineLevel="0" collapsed="false">
      <c r="A194" s="11"/>
      <c r="B194" s="8"/>
      <c r="C194" s="8"/>
      <c r="D194" s="9"/>
      <c r="E194" s="12" t="str">
        <f aca="false">IF(AND(C194&lt;&gt;"",D194&lt;&gt;""),C194*D194,"")</f>
        <v/>
      </c>
      <c r="F194" s="13"/>
    </row>
    <row r="195" customFormat="false" ht="15" hidden="false" customHeight="true" outlineLevel="0" collapsed="false">
      <c r="A195" s="11"/>
      <c r="B195" s="8"/>
      <c r="C195" s="8"/>
      <c r="D195" s="9"/>
      <c r="E195" s="12" t="str">
        <f aca="false">IF(AND(C195&lt;&gt;"",D195&lt;&gt;""),C195*D195,"")</f>
        <v/>
      </c>
      <c r="F195" s="13"/>
    </row>
    <row r="196" customFormat="false" ht="15" hidden="false" customHeight="true" outlineLevel="0" collapsed="false">
      <c r="A196" s="11"/>
      <c r="B196" s="8"/>
      <c r="C196" s="8"/>
      <c r="D196" s="9"/>
      <c r="E196" s="12" t="str">
        <f aca="false">IF(AND(C196&lt;&gt;"",D196&lt;&gt;""),C196*D196,"")</f>
        <v/>
      </c>
      <c r="F196" s="13"/>
    </row>
    <row r="197" customFormat="false" ht="15" hidden="false" customHeight="true" outlineLevel="0" collapsed="false">
      <c r="A197" s="11"/>
      <c r="B197" s="8"/>
      <c r="C197" s="8"/>
      <c r="D197" s="9"/>
      <c r="E197" s="12" t="str">
        <f aca="false">IF(AND(C197&lt;&gt;"",D197&lt;&gt;""),C197*D197,"")</f>
        <v/>
      </c>
      <c r="F197" s="13"/>
    </row>
    <row r="198" customFormat="false" ht="15" hidden="false" customHeight="true" outlineLevel="0" collapsed="false">
      <c r="A198" s="11"/>
      <c r="B198" s="8"/>
      <c r="C198" s="8"/>
      <c r="D198" s="9"/>
      <c r="E198" s="12" t="str">
        <f aca="false">IF(AND(C198&lt;&gt;"",D198&lt;&gt;""),C198*D198,"")</f>
        <v/>
      </c>
      <c r="F198" s="13"/>
    </row>
    <row r="199" customFormat="false" ht="15" hidden="false" customHeight="true" outlineLevel="0" collapsed="false">
      <c r="A199" s="11"/>
      <c r="B199" s="8"/>
      <c r="C199" s="8"/>
      <c r="D199" s="9"/>
      <c r="E199" s="12" t="str">
        <f aca="false">IF(AND(C199&lt;&gt;"",D199&lt;&gt;""),C199*D199,"")</f>
        <v/>
      </c>
      <c r="F199" s="13"/>
    </row>
    <row r="200" customFormat="false" ht="15" hidden="false" customHeight="true" outlineLevel="0" collapsed="false">
      <c r="A200" s="11"/>
      <c r="B200" s="8"/>
      <c r="C200" s="8"/>
      <c r="D200" s="9"/>
      <c r="E200" s="12" t="str">
        <f aca="false">IF(AND(C200&lt;&gt;"",D200&lt;&gt;""),C200*D200,"")</f>
        <v/>
      </c>
      <c r="F200" s="13"/>
    </row>
    <row r="201" customFormat="false" ht="15" hidden="false" customHeight="true" outlineLevel="0" collapsed="false">
      <c r="A201" s="11"/>
      <c r="B201" s="8"/>
      <c r="C201" s="8"/>
      <c r="D201" s="9"/>
      <c r="E201" s="12" t="str">
        <f aca="false">IF(AND(C201&lt;&gt;"",D201&lt;&gt;""),C201*D201,"")</f>
        <v/>
      </c>
      <c r="F201" s="13"/>
    </row>
    <row r="202" customFormat="false" ht="15" hidden="false" customHeight="true" outlineLevel="0" collapsed="false">
      <c r="A202" s="11"/>
      <c r="B202" s="8"/>
      <c r="C202" s="8"/>
      <c r="D202" s="9"/>
      <c r="E202" s="12" t="str">
        <f aca="false">IF(AND(C202&lt;&gt;"",D202&lt;&gt;""),C202*D202,"")</f>
        <v/>
      </c>
      <c r="F202" s="13"/>
    </row>
    <row r="203" customFormat="false" ht="15" hidden="false" customHeight="true" outlineLevel="0" collapsed="false">
      <c r="A203" s="11"/>
      <c r="B203" s="8"/>
      <c r="C203" s="8"/>
      <c r="D203" s="9"/>
      <c r="E203" s="12" t="str">
        <f aca="false">IF(AND(C203&lt;&gt;"",D203&lt;&gt;""),C203*D203,"")</f>
        <v/>
      </c>
      <c r="F203" s="13"/>
    </row>
    <row r="204" customFormat="false" ht="15" hidden="false" customHeight="true" outlineLevel="0" collapsed="false">
      <c r="A204" s="11"/>
      <c r="B204" s="8"/>
      <c r="C204" s="8"/>
      <c r="D204" s="9"/>
      <c r="E204" s="12" t="str">
        <f aca="false">IF(AND(C204&lt;&gt;"",D204&lt;&gt;""),C204*D204,"")</f>
        <v/>
      </c>
      <c r="F204" s="13"/>
    </row>
    <row r="205" customFormat="false" ht="15" hidden="false" customHeight="true" outlineLevel="0" collapsed="false">
      <c r="A205" s="11"/>
      <c r="B205" s="8"/>
      <c r="C205" s="8"/>
      <c r="D205" s="9"/>
      <c r="E205" s="12" t="str">
        <f aca="false">IF(AND(C205&lt;&gt;"",D205&lt;&gt;""),C205*D205,"")</f>
        <v/>
      </c>
      <c r="F205" s="13"/>
    </row>
    <row r="206" customFormat="false" ht="15" hidden="false" customHeight="true" outlineLevel="0" collapsed="false">
      <c r="A206" s="11"/>
      <c r="B206" s="8"/>
      <c r="C206" s="8"/>
      <c r="D206" s="9"/>
      <c r="E206" s="12" t="str">
        <f aca="false">IF(AND(C206&lt;&gt;"",D206&lt;&gt;""),C206*D206,"")</f>
        <v/>
      </c>
      <c r="F206" s="13"/>
    </row>
    <row r="207" customFormat="false" ht="15" hidden="false" customHeight="true" outlineLevel="0" collapsed="false">
      <c r="A207" s="11"/>
      <c r="B207" s="8"/>
      <c r="C207" s="8"/>
      <c r="D207" s="9"/>
      <c r="E207" s="12" t="str">
        <f aca="false">IF(AND(C207&lt;&gt;"",D207&lt;&gt;""),C207*D207,"")</f>
        <v/>
      </c>
      <c r="F207" s="13"/>
    </row>
    <row r="208" customFormat="false" ht="15" hidden="false" customHeight="true" outlineLevel="0" collapsed="false">
      <c r="A208" s="11"/>
      <c r="B208" s="8"/>
      <c r="C208" s="8"/>
      <c r="D208" s="9"/>
      <c r="E208" s="12" t="str">
        <f aca="false">IF(AND(C208&lt;&gt;"",D208&lt;&gt;""),C208*D208,"")</f>
        <v/>
      </c>
      <c r="F208" s="13"/>
    </row>
    <row r="209" customFormat="false" ht="15" hidden="false" customHeight="true" outlineLevel="0" collapsed="false">
      <c r="A209" s="11"/>
      <c r="B209" s="8"/>
      <c r="C209" s="8"/>
      <c r="D209" s="9"/>
      <c r="E209" s="12" t="str">
        <f aca="false">IF(AND(C209&lt;&gt;"",D209&lt;&gt;""),C209*D209,"")</f>
        <v/>
      </c>
      <c r="F209" s="13"/>
    </row>
    <row r="210" customFormat="false" ht="15" hidden="false" customHeight="true" outlineLevel="0" collapsed="false">
      <c r="A210" s="11"/>
      <c r="B210" s="8"/>
      <c r="C210" s="8"/>
      <c r="D210" s="9"/>
      <c r="E210" s="12" t="str">
        <f aca="false">IF(AND(C210&lt;&gt;"",D210&lt;&gt;""),C210*D210,"")</f>
        <v/>
      </c>
      <c r="F210" s="13"/>
    </row>
    <row r="211" customFormat="false" ht="15" hidden="false" customHeight="true" outlineLevel="0" collapsed="false">
      <c r="A211" s="11"/>
      <c r="B211" s="8"/>
      <c r="C211" s="8"/>
      <c r="D211" s="9"/>
      <c r="E211" s="12" t="str">
        <f aca="false">IF(AND(C211&lt;&gt;"",D211&lt;&gt;""),C211*D211,"")</f>
        <v/>
      </c>
      <c r="F211" s="13"/>
    </row>
    <row r="212" customFormat="false" ht="15" hidden="false" customHeight="true" outlineLevel="0" collapsed="false">
      <c r="A212" s="11"/>
      <c r="B212" s="8"/>
      <c r="C212" s="8"/>
      <c r="D212" s="9"/>
      <c r="E212" s="12" t="str">
        <f aca="false">IF(AND(C212&lt;&gt;"",D212&lt;&gt;""),C212*D212,"")</f>
        <v/>
      </c>
      <c r="F212" s="13"/>
    </row>
    <row r="213" customFormat="false" ht="15" hidden="false" customHeight="true" outlineLevel="0" collapsed="false">
      <c r="A213" s="11"/>
      <c r="B213" s="8"/>
      <c r="C213" s="8"/>
      <c r="D213" s="9"/>
      <c r="E213" s="12" t="str">
        <f aca="false">IF(AND(C213&lt;&gt;"",D213&lt;&gt;""),C213*D213,"")</f>
        <v/>
      </c>
      <c r="F213" s="13"/>
    </row>
    <row r="214" customFormat="false" ht="15" hidden="false" customHeight="true" outlineLevel="0" collapsed="false">
      <c r="A214" s="11"/>
      <c r="B214" s="8"/>
      <c r="C214" s="8"/>
      <c r="D214" s="9"/>
      <c r="E214" s="12" t="str">
        <f aca="false">IF(AND(C214&lt;&gt;"",D214&lt;&gt;""),C214*D214,"")</f>
        <v/>
      </c>
      <c r="F214" s="13"/>
    </row>
    <row r="215" customFormat="false" ht="15" hidden="false" customHeight="true" outlineLevel="0" collapsed="false">
      <c r="A215" s="11"/>
      <c r="B215" s="8"/>
      <c r="C215" s="8"/>
      <c r="D215" s="9"/>
      <c r="E215" s="12" t="str">
        <f aca="false">IF(AND(C215&lt;&gt;"",D215&lt;&gt;""),C215*D215,"")</f>
        <v/>
      </c>
      <c r="F215" s="13"/>
    </row>
    <row r="216" customFormat="false" ht="15" hidden="false" customHeight="true" outlineLevel="0" collapsed="false">
      <c r="A216" s="11"/>
      <c r="B216" s="8"/>
      <c r="C216" s="8"/>
      <c r="D216" s="9"/>
      <c r="E216" s="12" t="str">
        <f aca="false">IF(AND(C216&lt;&gt;"",D216&lt;&gt;""),C216*D216,"")</f>
        <v/>
      </c>
      <c r="F216" s="13"/>
    </row>
    <row r="217" customFormat="false" ht="15" hidden="false" customHeight="true" outlineLevel="0" collapsed="false">
      <c r="A217" s="11"/>
      <c r="B217" s="8"/>
      <c r="C217" s="8"/>
      <c r="D217" s="9"/>
      <c r="E217" s="12" t="str">
        <f aca="false">IF(AND(C217&lt;&gt;"",D217&lt;&gt;""),C217*D217,"")</f>
        <v/>
      </c>
      <c r="F217" s="13"/>
    </row>
    <row r="218" customFormat="false" ht="15" hidden="false" customHeight="true" outlineLevel="0" collapsed="false">
      <c r="A218" s="11"/>
      <c r="B218" s="8"/>
      <c r="C218" s="8"/>
      <c r="D218" s="9"/>
      <c r="E218" s="12" t="str">
        <f aca="false">IF(AND(C218&lt;&gt;"",D218&lt;&gt;""),C218*D218,"")</f>
        <v/>
      </c>
      <c r="F218" s="13"/>
    </row>
    <row r="219" customFormat="false" ht="15" hidden="false" customHeight="true" outlineLevel="0" collapsed="false">
      <c r="A219" s="11"/>
      <c r="B219" s="8"/>
      <c r="C219" s="8"/>
      <c r="D219" s="9"/>
      <c r="E219" s="12" t="str">
        <f aca="false">IF(AND(C219&lt;&gt;"",D219&lt;&gt;""),C219*D219,"")</f>
        <v/>
      </c>
      <c r="F219" s="13"/>
    </row>
    <row r="220" customFormat="false" ht="15" hidden="false" customHeight="true" outlineLevel="0" collapsed="false">
      <c r="A220" s="11"/>
      <c r="B220" s="8"/>
      <c r="C220" s="8"/>
      <c r="D220" s="9"/>
      <c r="E220" s="12" t="str">
        <f aca="false">IF(AND(C220&lt;&gt;"",D220&lt;&gt;""),C220*D220,"")</f>
        <v/>
      </c>
      <c r="F220" s="13"/>
    </row>
    <row r="221" customFormat="false" ht="15" hidden="false" customHeight="true" outlineLevel="0" collapsed="false">
      <c r="A221" s="11"/>
      <c r="B221" s="8"/>
      <c r="C221" s="8"/>
      <c r="D221" s="9"/>
      <c r="E221" s="12" t="str">
        <f aca="false">IF(AND(C221&lt;&gt;"",D221&lt;&gt;""),C221*D221,"")</f>
        <v/>
      </c>
      <c r="F221" s="13"/>
    </row>
    <row r="222" customFormat="false" ht="15" hidden="false" customHeight="true" outlineLevel="0" collapsed="false">
      <c r="A222" s="11"/>
      <c r="B222" s="8"/>
      <c r="C222" s="8"/>
      <c r="D222" s="9"/>
      <c r="E222" s="12" t="str">
        <f aca="false">IF(AND(C222&lt;&gt;"",D222&lt;&gt;""),C222*D222,"")</f>
        <v/>
      </c>
      <c r="F222" s="13"/>
    </row>
    <row r="223" customFormat="false" ht="15" hidden="false" customHeight="true" outlineLevel="0" collapsed="false">
      <c r="A223" s="11"/>
      <c r="B223" s="8"/>
      <c r="C223" s="8"/>
      <c r="D223" s="9"/>
      <c r="E223" s="12" t="str">
        <f aca="false">IF(AND(C223&lt;&gt;"",D223&lt;&gt;""),C223*D223,"")</f>
        <v/>
      </c>
      <c r="F223" s="13"/>
    </row>
    <row r="224" customFormat="false" ht="15" hidden="false" customHeight="true" outlineLevel="0" collapsed="false">
      <c r="A224" s="11"/>
      <c r="B224" s="8"/>
      <c r="C224" s="8"/>
      <c r="D224" s="9"/>
      <c r="E224" s="12" t="str">
        <f aca="false">IF(AND(C224&lt;&gt;"",D224&lt;&gt;""),C224*D224,"")</f>
        <v/>
      </c>
      <c r="F224" s="13"/>
    </row>
    <row r="225" customFormat="false" ht="15" hidden="false" customHeight="true" outlineLevel="0" collapsed="false">
      <c r="A225" s="11"/>
      <c r="B225" s="8"/>
      <c r="C225" s="8"/>
      <c r="D225" s="9"/>
      <c r="E225" s="12" t="str">
        <f aca="false">IF(AND(C225&lt;&gt;"",D225&lt;&gt;""),C225*D225,"")</f>
        <v/>
      </c>
      <c r="F225" s="13"/>
    </row>
    <row r="226" customFormat="false" ht="15" hidden="false" customHeight="true" outlineLevel="0" collapsed="false">
      <c r="A226" s="11"/>
      <c r="B226" s="8"/>
      <c r="C226" s="8"/>
      <c r="D226" s="9"/>
      <c r="E226" s="12" t="str">
        <f aca="false">IF(AND(C226&lt;&gt;"",D226&lt;&gt;""),C226*D226,"")</f>
        <v/>
      </c>
      <c r="F226" s="13"/>
    </row>
    <row r="227" customFormat="false" ht="15" hidden="false" customHeight="true" outlineLevel="0" collapsed="false">
      <c r="A227" s="11"/>
      <c r="B227" s="8"/>
      <c r="C227" s="8"/>
      <c r="D227" s="9"/>
      <c r="E227" s="12" t="str">
        <f aca="false">IF(AND(C227&lt;&gt;"",D227&lt;&gt;""),C227*D227,"")</f>
        <v/>
      </c>
      <c r="F227" s="13"/>
    </row>
    <row r="228" customFormat="false" ht="15" hidden="false" customHeight="true" outlineLevel="0" collapsed="false">
      <c r="A228" s="11"/>
      <c r="B228" s="8"/>
      <c r="C228" s="8"/>
      <c r="D228" s="9"/>
      <c r="E228" s="12" t="str">
        <f aca="false">IF(AND(C228&lt;&gt;"",D228&lt;&gt;""),C228*D228,"")</f>
        <v/>
      </c>
      <c r="F228" s="13"/>
    </row>
    <row r="229" customFormat="false" ht="15" hidden="false" customHeight="true" outlineLevel="0" collapsed="false">
      <c r="A229" s="11"/>
      <c r="B229" s="8"/>
      <c r="C229" s="8"/>
      <c r="D229" s="9"/>
      <c r="E229" s="12" t="str">
        <f aca="false">IF(AND(C229&lt;&gt;"",D229&lt;&gt;""),C229*D229,"")</f>
        <v/>
      </c>
      <c r="F229" s="13"/>
    </row>
    <row r="230" customFormat="false" ht="15" hidden="false" customHeight="true" outlineLevel="0" collapsed="false">
      <c r="A230" s="11"/>
      <c r="B230" s="8"/>
      <c r="C230" s="8"/>
      <c r="D230" s="9"/>
      <c r="E230" s="12" t="str">
        <f aca="false">IF(AND(C230&lt;&gt;"",D230&lt;&gt;""),C230*D230,"")</f>
        <v/>
      </c>
      <c r="F230" s="13"/>
    </row>
    <row r="231" customFormat="false" ht="15" hidden="false" customHeight="true" outlineLevel="0" collapsed="false">
      <c r="A231" s="11"/>
      <c r="B231" s="8"/>
      <c r="C231" s="8"/>
      <c r="D231" s="9"/>
      <c r="E231" s="12" t="str">
        <f aca="false">IF(AND(C231&lt;&gt;"",D231&lt;&gt;""),C231*D231,"")</f>
        <v/>
      </c>
      <c r="F231" s="13"/>
    </row>
    <row r="232" customFormat="false" ht="15" hidden="false" customHeight="true" outlineLevel="0" collapsed="false">
      <c r="A232" s="11"/>
      <c r="B232" s="8"/>
      <c r="C232" s="8"/>
      <c r="D232" s="9"/>
      <c r="E232" s="12" t="str">
        <f aca="false">IF(AND(C232&lt;&gt;"",D232&lt;&gt;""),C232*D232,"")</f>
        <v/>
      </c>
      <c r="F232" s="13"/>
    </row>
    <row r="233" customFormat="false" ht="15" hidden="false" customHeight="true" outlineLevel="0" collapsed="false">
      <c r="A233" s="11"/>
      <c r="B233" s="8"/>
      <c r="C233" s="8"/>
      <c r="D233" s="9"/>
      <c r="E233" s="12" t="str">
        <f aca="false">IF(AND(C233&lt;&gt;"",D233&lt;&gt;""),C233*D233,"")</f>
        <v/>
      </c>
      <c r="F233" s="13"/>
    </row>
    <row r="234" customFormat="false" ht="15" hidden="false" customHeight="true" outlineLevel="0" collapsed="false">
      <c r="A234" s="11"/>
      <c r="B234" s="8"/>
      <c r="C234" s="8"/>
      <c r="D234" s="9"/>
      <c r="E234" s="12" t="str">
        <f aca="false">IF(AND(C234&lt;&gt;"",D234&lt;&gt;""),C234*D234,"")</f>
        <v/>
      </c>
      <c r="F234" s="13"/>
    </row>
    <row r="235" customFormat="false" ht="15" hidden="false" customHeight="true" outlineLevel="0" collapsed="false">
      <c r="A235" s="11"/>
      <c r="B235" s="8"/>
      <c r="C235" s="8"/>
      <c r="D235" s="9"/>
      <c r="E235" s="12" t="str">
        <f aca="false">IF(AND(C235&lt;&gt;"",D235&lt;&gt;""),C235*D235,"")</f>
        <v/>
      </c>
      <c r="F235" s="13"/>
    </row>
    <row r="236" customFormat="false" ht="15" hidden="false" customHeight="true" outlineLevel="0" collapsed="false">
      <c r="A236" s="11"/>
      <c r="B236" s="8"/>
      <c r="C236" s="8"/>
      <c r="D236" s="9"/>
      <c r="E236" s="12" t="str">
        <f aca="false">IF(AND(C236&lt;&gt;"",D236&lt;&gt;""),C236*D236,"")</f>
        <v/>
      </c>
      <c r="F236" s="13"/>
    </row>
    <row r="237" customFormat="false" ht="15" hidden="false" customHeight="true" outlineLevel="0" collapsed="false">
      <c r="A237" s="11"/>
      <c r="B237" s="8"/>
      <c r="C237" s="8"/>
      <c r="D237" s="9"/>
      <c r="E237" s="12" t="str">
        <f aca="false">IF(AND(C237&lt;&gt;"",D237&lt;&gt;""),C237*D237,"")</f>
        <v/>
      </c>
      <c r="F237" s="13"/>
    </row>
    <row r="238" customFormat="false" ht="15" hidden="false" customHeight="true" outlineLevel="0" collapsed="false">
      <c r="A238" s="11"/>
      <c r="B238" s="8"/>
      <c r="C238" s="8"/>
      <c r="D238" s="9"/>
      <c r="E238" s="12" t="str">
        <f aca="false">IF(AND(C238&lt;&gt;"",D238&lt;&gt;""),C238*D238,"")</f>
        <v/>
      </c>
      <c r="F238" s="13"/>
    </row>
    <row r="239" customFormat="false" ht="15" hidden="false" customHeight="true" outlineLevel="0" collapsed="false">
      <c r="A239" s="11"/>
      <c r="B239" s="8"/>
      <c r="C239" s="8"/>
      <c r="D239" s="9"/>
      <c r="E239" s="12" t="str">
        <f aca="false">IF(AND(C239&lt;&gt;"",D239&lt;&gt;""),C239*D239,"")</f>
        <v/>
      </c>
      <c r="F239" s="13"/>
    </row>
    <row r="240" customFormat="false" ht="15" hidden="false" customHeight="true" outlineLevel="0" collapsed="false">
      <c r="A240" s="11"/>
      <c r="B240" s="8"/>
      <c r="C240" s="8"/>
      <c r="D240" s="9"/>
      <c r="E240" s="12" t="str">
        <f aca="false">IF(AND(C240&lt;&gt;"",D240&lt;&gt;""),C240*D240,"")</f>
        <v/>
      </c>
      <c r="F240" s="13"/>
    </row>
    <row r="241" customFormat="false" ht="15" hidden="false" customHeight="true" outlineLevel="0" collapsed="false">
      <c r="A241" s="11"/>
      <c r="B241" s="8"/>
      <c r="C241" s="8"/>
      <c r="D241" s="9"/>
      <c r="E241" s="12" t="str">
        <f aca="false">IF(AND(C241&lt;&gt;"",D241&lt;&gt;""),C241*D241,"")</f>
        <v/>
      </c>
      <c r="F241" s="13"/>
    </row>
    <row r="242" customFormat="false" ht="15" hidden="false" customHeight="true" outlineLevel="0" collapsed="false">
      <c r="A242" s="11"/>
      <c r="B242" s="8"/>
      <c r="C242" s="8"/>
      <c r="D242" s="9"/>
      <c r="E242" s="12" t="str">
        <f aca="false">IF(AND(C242&lt;&gt;"",D242&lt;&gt;""),C242*D242,"")</f>
        <v/>
      </c>
      <c r="F242" s="13"/>
    </row>
    <row r="243" customFormat="false" ht="15" hidden="false" customHeight="true" outlineLevel="0" collapsed="false">
      <c r="A243" s="11"/>
      <c r="B243" s="8"/>
      <c r="C243" s="8"/>
      <c r="D243" s="9"/>
      <c r="E243" s="12" t="str">
        <f aca="false">IF(AND(C243&lt;&gt;"",D243&lt;&gt;""),C243*D243,"")</f>
        <v/>
      </c>
      <c r="F243" s="13"/>
    </row>
    <row r="244" customFormat="false" ht="15" hidden="false" customHeight="true" outlineLevel="0" collapsed="false">
      <c r="A244" s="11"/>
      <c r="B244" s="8"/>
      <c r="C244" s="8"/>
      <c r="D244" s="9"/>
      <c r="E244" s="12" t="str">
        <f aca="false">IF(AND(C244&lt;&gt;"",D244&lt;&gt;""),C244*D244,"")</f>
        <v/>
      </c>
      <c r="F244" s="13"/>
    </row>
    <row r="245" customFormat="false" ht="15" hidden="false" customHeight="true" outlineLevel="0" collapsed="false">
      <c r="A245" s="11"/>
      <c r="B245" s="8"/>
      <c r="C245" s="8"/>
      <c r="D245" s="9"/>
      <c r="E245" s="12" t="str">
        <f aca="false">IF(AND(C245&lt;&gt;"",D245&lt;&gt;""),C245*D245,"")</f>
        <v/>
      </c>
      <c r="F245" s="13"/>
    </row>
    <row r="246" customFormat="false" ht="15" hidden="false" customHeight="true" outlineLevel="0" collapsed="false">
      <c r="A246" s="11"/>
      <c r="B246" s="8"/>
      <c r="C246" s="8"/>
      <c r="D246" s="9"/>
      <c r="E246" s="12" t="str">
        <f aca="false">IF(AND(C246&lt;&gt;"",D246&lt;&gt;""),C246*D246,"")</f>
        <v/>
      </c>
      <c r="F246" s="13"/>
    </row>
    <row r="247" customFormat="false" ht="15" hidden="false" customHeight="true" outlineLevel="0" collapsed="false">
      <c r="A247" s="11"/>
      <c r="B247" s="8"/>
      <c r="C247" s="8"/>
      <c r="D247" s="9"/>
      <c r="E247" s="12" t="str">
        <f aca="false">IF(AND(C247&lt;&gt;"",D247&lt;&gt;""),C247*D247,"")</f>
        <v/>
      </c>
      <c r="F247" s="13"/>
    </row>
    <row r="248" customFormat="false" ht="15" hidden="false" customHeight="true" outlineLevel="0" collapsed="false">
      <c r="A248" s="11"/>
      <c r="B248" s="8"/>
      <c r="C248" s="8"/>
      <c r="D248" s="9"/>
      <c r="E248" s="12" t="str">
        <f aca="false">IF(AND(C248&lt;&gt;"",D248&lt;&gt;""),C248*D248,"")</f>
        <v/>
      </c>
      <c r="F248" s="13"/>
    </row>
    <row r="249" customFormat="false" ht="15" hidden="false" customHeight="true" outlineLevel="0" collapsed="false">
      <c r="A249" s="11"/>
      <c r="B249" s="8"/>
      <c r="C249" s="8"/>
      <c r="D249" s="9"/>
      <c r="E249" s="12" t="str">
        <f aca="false">IF(AND(C249&lt;&gt;"",D249&lt;&gt;""),C249*D249,"")</f>
        <v/>
      </c>
      <c r="F249" s="13"/>
    </row>
    <row r="250" customFormat="false" ht="15" hidden="false" customHeight="true" outlineLevel="0" collapsed="false">
      <c r="A250" s="11"/>
      <c r="B250" s="8"/>
      <c r="C250" s="8"/>
      <c r="D250" s="9"/>
      <c r="E250" s="12" t="str">
        <f aca="false">IF(AND(C250&lt;&gt;"",D250&lt;&gt;""),C250*D250,"")</f>
        <v/>
      </c>
      <c r="F250" s="13"/>
    </row>
    <row r="251" customFormat="false" ht="15" hidden="false" customHeight="true" outlineLevel="0" collapsed="false">
      <c r="A251" s="11"/>
      <c r="B251" s="8"/>
      <c r="C251" s="8"/>
      <c r="D251" s="9"/>
      <c r="E251" s="12" t="str">
        <f aca="false">IF(AND(C251&lt;&gt;"",D251&lt;&gt;""),C251*D251,"")</f>
        <v/>
      </c>
      <c r="F251" s="13"/>
    </row>
    <row r="252" customFormat="false" ht="15" hidden="false" customHeight="true" outlineLevel="0" collapsed="false">
      <c r="A252" s="11"/>
      <c r="B252" s="8"/>
      <c r="C252" s="8"/>
      <c r="D252" s="9"/>
      <c r="E252" s="12" t="str">
        <f aca="false">IF(AND(C252&lt;&gt;"",D252&lt;&gt;""),C252*D252,"")</f>
        <v/>
      </c>
      <c r="F252" s="13"/>
    </row>
    <row r="253" customFormat="false" ht="15" hidden="false" customHeight="true" outlineLevel="0" collapsed="false">
      <c r="A253" s="11"/>
      <c r="B253" s="8"/>
      <c r="C253" s="8"/>
      <c r="D253" s="9"/>
      <c r="E253" s="12" t="str">
        <f aca="false">IF(AND(C253&lt;&gt;"",D253&lt;&gt;""),C253*D253,"")</f>
        <v/>
      </c>
      <c r="F253" s="13"/>
    </row>
    <row r="254" customFormat="false" ht="15" hidden="false" customHeight="true" outlineLevel="0" collapsed="false">
      <c r="A254" s="11"/>
      <c r="B254" s="8"/>
      <c r="C254" s="8"/>
      <c r="D254" s="9"/>
      <c r="E254" s="12" t="str">
        <f aca="false">IF(AND(C254&lt;&gt;"",D254&lt;&gt;""),C254*D254,"")</f>
        <v/>
      </c>
      <c r="F254" s="13"/>
    </row>
    <row r="255" customFormat="false" ht="15" hidden="false" customHeight="true" outlineLevel="0" collapsed="false">
      <c r="A255" s="11"/>
      <c r="B255" s="8"/>
      <c r="C255" s="8"/>
      <c r="D255" s="9"/>
      <c r="E255" s="12" t="str">
        <f aca="false">IF(AND(C255&lt;&gt;"",D255&lt;&gt;""),C255*D255,"")</f>
        <v/>
      </c>
      <c r="F255" s="13"/>
    </row>
    <row r="256" customFormat="false" ht="15" hidden="false" customHeight="true" outlineLevel="0" collapsed="false">
      <c r="A256" s="11"/>
      <c r="B256" s="8"/>
      <c r="C256" s="8"/>
      <c r="D256" s="9"/>
      <c r="E256" s="12" t="str">
        <f aca="false">IF(AND(C256&lt;&gt;"",D256&lt;&gt;""),C256*D256,"")</f>
        <v/>
      </c>
      <c r="F256" s="13"/>
    </row>
    <row r="257" customFormat="false" ht="15" hidden="false" customHeight="true" outlineLevel="0" collapsed="false">
      <c r="A257" s="11"/>
      <c r="B257" s="8"/>
      <c r="C257" s="8"/>
      <c r="D257" s="9"/>
      <c r="E257" s="12" t="str">
        <f aca="false">IF(AND(C257&lt;&gt;"",D257&lt;&gt;""),C257*D257,"")</f>
        <v/>
      </c>
      <c r="F257" s="13"/>
    </row>
    <row r="258" customFormat="false" ht="15" hidden="false" customHeight="true" outlineLevel="0" collapsed="false">
      <c r="A258" s="11"/>
      <c r="B258" s="8"/>
      <c r="C258" s="8"/>
      <c r="D258" s="9"/>
      <c r="E258" s="12" t="str">
        <f aca="false">IF(AND(C258&lt;&gt;"",D258&lt;&gt;""),C258*D258,"")</f>
        <v/>
      </c>
      <c r="F258" s="13"/>
    </row>
    <row r="259" customFormat="false" ht="15" hidden="false" customHeight="true" outlineLevel="0" collapsed="false">
      <c r="A259" s="11"/>
      <c r="B259" s="8"/>
      <c r="C259" s="8"/>
      <c r="D259" s="9"/>
      <c r="E259" s="12" t="str">
        <f aca="false">IF(AND(C259&lt;&gt;"",D259&lt;&gt;""),C259*D259,"")</f>
        <v/>
      </c>
      <c r="F259" s="13"/>
    </row>
    <row r="260" customFormat="false" ht="15" hidden="false" customHeight="true" outlineLevel="0" collapsed="false">
      <c r="A260" s="11"/>
      <c r="B260" s="8"/>
      <c r="C260" s="8"/>
      <c r="D260" s="9"/>
      <c r="E260" s="12" t="str">
        <f aca="false">IF(AND(C260&lt;&gt;"",D260&lt;&gt;""),C260*D260,"")</f>
        <v/>
      </c>
      <c r="F260" s="13"/>
    </row>
    <row r="261" customFormat="false" ht="15" hidden="false" customHeight="true" outlineLevel="0" collapsed="false">
      <c r="A261" s="11"/>
      <c r="B261" s="8"/>
      <c r="C261" s="8"/>
      <c r="D261" s="9"/>
      <c r="E261" s="12" t="str">
        <f aca="false">IF(AND(C261&lt;&gt;"",D261&lt;&gt;""),C261*D261,"")</f>
        <v/>
      </c>
      <c r="F261" s="13"/>
    </row>
    <row r="262" customFormat="false" ht="15" hidden="false" customHeight="true" outlineLevel="0" collapsed="false">
      <c r="A262" s="11"/>
      <c r="B262" s="8"/>
      <c r="C262" s="8"/>
      <c r="D262" s="9"/>
      <c r="E262" s="12" t="str">
        <f aca="false">IF(AND(C262&lt;&gt;"",D262&lt;&gt;""),C262*D262,"")</f>
        <v/>
      </c>
      <c r="F262" s="13"/>
    </row>
    <row r="263" customFormat="false" ht="15" hidden="false" customHeight="true" outlineLevel="0" collapsed="false">
      <c r="A263" s="11"/>
      <c r="B263" s="8"/>
      <c r="C263" s="8"/>
      <c r="D263" s="9"/>
      <c r="E263" s="12" t="str">
        <f aca="false">IF(AND(C263&lt;&gt;"",D263&lt;&gt;""),C263*D263,"")</f>
        <v/>
      </c>
      <c r="F263" s="13"/>
    </row>
    <row r="264" customFormat="false" ht="15" hidden="false" customHeight="true" outlineLevel="0" collapsed="false">
      <c r="A264" s="11"/>
      <c r="B264" s="8"/>
      <c r="C264" s="8"/>
      <c r="D264" s="9"/>
      <c r="E264" s="12" t="str">
        <f aca="false">IF(AND(C264&lt;&gt;"",D264&lt;&gt;""),C264*D264,"")</f>
        <v/>
      </c>
      <c r="F264" s="13"/>
    </row>
    <row r="265" customFormat="false" ht="15" hidden="false" customHeight="true" outlineLevel="0" collapsed="false">
      <c r="A265" s="11"/>
      <c r="B265" s="8"/>
      <c r="C265" s="8"/>
      <c r="D265" s="9"/>
      <c r="E265" s="12" t="str">
        <f aca="false">IF(AND(C265&lt;&gt;"",D265&lt;&gt;""),C265*D265,"")</f>
        <v/>
      </c>
      <c r="F265" s="13"/>
    </row>
    <row r="266" customFormat="false" ht="15" hidden="false" customHeight="true" outlineLevel="0" collapsed="false">
      <c r="A266" s="11"/>
      <c r="B266" s="8"/>
      <c r="C266" s="8"/>
      <c r="D266" s="9"/>
      <c r="E266" s="12" t="str">
        <f aca="false">IF(AND(C266&lt;&gt;"",D266&lt;&gt;""),C266*D266,"")</f>
        <v/>
      </c>
      <c r="F266" s="13"/>
    </row>
    <row r="267" customFormat="false" ht="15" hidden="false" customHeight="true" outlineLevel="0" collapsed="false">
      <c r="A267" s="11"/>
      <c r="B267" s="8"/>
      <c r="C267" s="8"/>
      <c r="D267" s="9"/>
      <c r="E267" s="12" t="str">
        <f aca="false">IF(AND(C267&lt;&gt;"",D267&lt;&gt;""),C267*D267,"")</f>
        <v/>
      </c>
      <c r="F267" s="13"/>
    </row>
    <row r="268" customFormat="false" ht="15" hidden="false" customHeight="true" outlineLevel="0" collapsed="false">
      <c r="A268" s="11"/>
      <c r="B268" s="8"/>
      <c r="C268" s="8"/>
      <c r="D268" s="9"/>
      <c r="E268" s="12" t="str">
        <f aca="false">IF(AND(C268&lt;&gt;"",D268&lt;&gt;""),C268*D268,"")</f>
        <v/>
      </c>
      <c r="F268" s="13"/>
    </row>
    <row r="269" customFormat="false" ht="15" hidden="false" customHeight="true" outlineLevel="0" collapsed="false">
      <c r="A269" s="11"/>
      <c r="B269" s="8"/>
      <c r="C269" s="8"/>
      <c r="D269" s="9"/>
      <c r="E269" s="12" t="str">
        <f aca="false">IF(AND(C269&lt;&gt;"",D269&lt;&gt;""),C269*D269,"")</f>
        <v/>
      </c>
      <c r="F269" s="13"/>
    </row>
    <row r="270" customFormat="false" ht="15" hidden="false" customHeight="true" outlineLevel="0" collapsed="false">
      <c r="A270" s="11"/>
      <c r="B270" s="8"/>
      <c r="C270" s="8"/>
      <c r="D270" s="9"/>
      <c r="E270" s="12" t="str">
        <f aca="false">IF(AND(C270&lt;&gt;"",D270&lt;&gt;""),C270*D270,"")</f>
        <v/>
      </c>
      <c r="F270" s="13"/>
    </row>
    <row r="271" customFormat="false" ht="15" hidden="false" customHeight="true" outlineLevel="0" collapsed="false">
      <c r="A271" s="11"/>
      <c r="B271" s="8"/>
      <c r="C271" s="8"/>
      <c r="D271" s="9"/>
      <c r="E271" s="12" t="str">
        <f aca="false">IF(AND(C271&lt;&gt;"",D271&lt;&gt;""),C271*D271,"")</f>
        <v/>
      </c>
      <c r="F271" s="13"/>
    </row>
    <row r="272" customFormat="false" ht="15" hidden="false" customHeight="true" outlineLevel="0" collapsed="false">
      <c r="A272" s="11"/>
      <c r="B272" s="8"/>
      <c r="C272" s="8"/>
      <c r="D272" s="9"/>
      <c r="E272" s="12" t="str">
        <f aca="false">IF(AND(C272&lt;&gt;"",D272&lt;&gt;""),C272*D272,"")</f>
        <v/>
      </c>
      <c r="F272" s="13"/>
    </row>
    <row r="273" customFormat="false" ht="15" hidden="false" customHeight="true" outlineLevel="0" collapsed="false">
      <c r="A273" s="11"/>
      <c r="B273" s="8"/>
      <c r="C273" s="8"/>
      <c r="D273" s="9"/>
      <c r="E273" s="12" t="str">
        <f aca="false">IF(AND(C273&lt;&gt;"",D273&lt;&gt;""),C273*D273,"")</f>
        <v/>
      </c>
      <c r="F273" s="13"/>
    </row>
    <row r="274" customFormat="false" ht="15" hidden="false" customHeight="true" outlineLevel="0" collapsed="false">
      <c r="A274" s="11"/>
      <c r="B274" s="8"/>
      <c r="C274" s="8"/>
      <c r="D274" s="9"/>
      <c r="E274" s="12" t="str">
        <f aca="false">IF(AND(C274&lt;&gt;"",D274&lt;&gt;""),C274*D274,"")</f>
        <v/>
      </c>
      <c r="F274" s="13"/>
    </row>
    <row r="275" customFormat="false" ht="15" hidden="false" customHeight="true" outlineLevel="0" collapsed="false">
      <c r="A275" s="11"/>
      <c r="B275" s="8"/>
      <c r="C275" s="8"/>
      <c r="D275" s="9"/>
      <c r="E275" s="12" t="str">
        <f aca="false">IF(AND(C275&lt;&gt;"",D275&lt;&gt;""),C275*D275,"")</f>
        <v/>
      </c>
      <c r="F275" s="13"/>
    </row>
    <row r="276" customFormat="false" ht="15" hidden="false" customHeight="true" outlineLevel="0" collapsed="false">
      <c r="A276" s="11"/>
      <c r="B276" s="8"/>
      <c r="C276" s="8"/>
      <c r="D276" s="9"/>
      <c r="E276" s="12" t="str">
        <f aca="false">IF(AND(C276&lt;&gt;"",D276&lt;&gt;""),C276*D276,"")</f>
        <v/>
      </c>
      <c r="F276" s="13"/>
    </row>
    <row r="277" customFormat="false" ht="15" hidden="false" customHeight="true" outlineLevel="0" collapsed="false">
      <c r="A277" s="11"/>
      <c r="B277" s="8"/>
      <c r="C277" s="8"/>
      <c r="D277" s="9"/>
      <c r="E277" s="12" t="str">
        <f aca="false">IF(AND(C277&lt;&gt;"",D277&lt;&gt;""),C277*D277,"")</f>
        <v/>
      </c>
      <c r="F277" s="13"/>
    </row>
    <row r="278" customFormat="false" ht="15" hidden="false" customHeight="true" outlineLevel="0" collapsed="false">
      <c r="A278" s="11"/>
      <c r="B278" s="8"/>
      <c r="C278" s="8"/>
      <c r="D278" s="9"/>
      <c r="E278" s="12" t="str">
        <f aca="false">IF(AND(C278&lt;&gt;"",D278&lt;&gt;""),C278*D278,"")</f>
        <v/>
      </c>
      <c r="F278" s="13"/>
    </row>
    <row r="279" customFormat="false" ht="15" hidden="false" customHeight="true" outlineLevel="0" collapsed="false">
      <c r="A279" s="11"/>
      <c r="B279" s="8"/>
      <c r="C279" s="8"/>
      <c r="D279" s="9"/>
      <c r="E279" s="12" t="str">
        <f aca="false">IF(AND(C279&lt;&gt;"",D279&lt;&gt;""),C279*D279,"")</f>
        <v/>
      </c>
      <c r="F279" s="13"/>
    </row>
    <row r="280" customFormat="false" ht="15" hidden="false" customHeight="true" outlineLevel="0" collapsed="false">
      <c r="A280" s="11"/>
      <c r="B280" s="8"/>
      <c r="C280" s="8"/>
      <c r="D280" s="9"/>
      <c r="E280" s="12" t="str">
        <f aca="false">IF(AND(C280&lt;&gt;"",D280&lt;&gt;""),C280*D280,"")</f>
        <v/>
      </c>
      <c r="F280" s="13"/>
    </row>
    <row r="281" customFormat="false" ht="15" hidden="false" customHeight="true" outlineLevel="0" collapsed="false">
      <c r="A281" s="11"/>
      <c r="B281" s="8"/>
      <c r="C281" s="8"/>
      <c r="D281" s="9"/>
      <c r="E281" s="12" t="str">
        <f aca="false">IF(AND(C281&lt;&gt;"",D281&lt;&gt;""),C281*D281,"")</f>
        <v/>
      </c>
      <c r="F281" s="13"/>
    </row>
    <row r="282" customFormat="false" ht="15" hidden="false" customHeight="true" outlineLevel="0" collapsed="false">
      <c r="A282" s="11"/>
      <c r="B282" s="8"/>
      <c r="C282" s="8"/>
      <c r="D282" s="9"/>
      <c r="E282" s="12" t="str">
        <f aca="false">IF(AND(C282&lt;&gt;"",D282&lt;&gt;""),C282*D282,"")</f>
        <v/>
      </c>
      <c r="F282" s="13"/>
    </row>
    <row r="283" customFormat="false" ht="15" hidden="false" customHeight="true" outlineLevel="0" collapsed="false">
      <c r="A283" s="11"/>
      <c r="B283" s="8"/>
      <c r="C283" s="8"/>
      <c r="D283" s="9"/>
      <c r="E283" s="12" t="str">
        <f aca="false">IF(AND(C283&lt;&gt;"",D283&lt;&gt;""),C283*D283,"")</f>
        <v/>
      </c>
      <c r="F283" s="13"/>
    </row>
    <row r="284" customFormat="false" ht="15" hidden="false" customHeight="true" outlineLevel="0" collapsed="false">
      <c r="A284" s="11"/>
      <c r="B284" s="8"/>
      <c r="C284" s="8"/>
      <c r="D284" s="9"/>
      <c r="E284" s="12" t="str">
        <f aca="false">IF(AND(C284&lt;&gt;"",D284&lt;&gt;""),C284*D284,"")</f>
        <v/>
      </c>
      <c r="F284" s="13"/>
    </row>
    <row r="285" customFormat="false" ht="15" hidden="false" customHeight="true" outlineLevel="0" collapsed="false">
      <c r="A285" s="11"/>
      <c r="B285" s="8"/>
      <c r="C285" s="8"/>
      <c r="D285" s="9"/>
      <c r="E285" s="12" t="str">
        <f aca="false">IF(AND(C285&lt;&gt;"",D285&lt;&gt;""),C285*D285,"")</f>
        <v/>
      </c>
      <c r="F285" s="13"/>
    </row>
    <row r="286" customFormat="false" ht="15" hidden="false" customHeight="true" outlineLevel="0" collapsed="false">
      <c r="A286" s="11"/>
      <c r="B286" s="8"/>
      <c r="C286" s="8"/>
      <c r="D286" s="9"/>
      <c r="E286" s="12" t="str">
        <f aca="false">IF(AND(C286&lt;&gt;"",D286&lt;&gt;""),C286*D286,"")</f>
        <v/>
      </c>
      <c r="F286" s="13"/>
    </row>
    <row r="287" customFormat="false" ht="15" hidden="false" customHeight="true" outlineLevel="0" collapsed="false">
      <c r="A287" s="11"/>
      <c r="B287" s="8"/>
      <c r="C287" s="8"/>
      <c r="D287" s="9"/>
      <c r="E287" s="12" t="str">
        <f aca="false">IF(AND(C287&lt;&gt;"",D287&lt;&gt;""),C287*D287,"")</f>
        <v/>
      </c>
      <c r="F287" s="13"/>
    </row>
    <row r="288" customFormat="false" ht="15" hidden="false" customHeight="true" outlineLevel="0" collapsed="false">
      <c r="A288" s="11"/>
      <c r="B288" s="8"/>
      <c r="C288" s="8"/>
      <c r="D288" s="9"/>
      <c r="E288" s="12" t="str">
        <f aca="false">IF(AND(C288&lt;&gt;"",D288&lt;&gt;""),C288*D288,"")</f>
        <v/>
      </c>
      <c r="F288" s="13"/>
    </row>
    <row r="289" customFormat="false" ht="15" hidden="false" customHeight="true" outlineLevel="0" collapsed="false">
      <c r="A289" s="11"/>
      <c r="B289" s="8"/>
      <c r="C289" s="8"/>
      <c r="D289" s="9"/>
      <c r="E289" s="12" t="str">
        <f aca="false">IF(AND(C289&lt;&gt;"",D289&lt;&gt;""),C289*D289,"")</f>
        <v/>
      </c>
      <c r="F289" s="13"/>
    </row>
    <row r="290" customFormat="false" ht="15" hidden="false" customHeight="true" outlineLevel="0" collapsed="false">
      <c r="A290" s="11"/>
      <c r="B290" s="8"/>
      <c r="C290" s="8"/>
      <c r="D290" s="9"/>
      <c r="E290" s="12" t="str">
        <f aca="false">IF(AND(C290&lt;&gt;"",D290&lt;&gt;""),C290*D290,"")</f>
        <v/>
      </c>
      <c r="F290" s="13"/>
    </row>
    <row r="291" customFormat="false" ht="15" hidden="false" customHeight="true" outlineLevel="0" collapsed="false">
      <c r="A291" s="11"/>
      <c r="B291" s="8"/>
      <c r="C291" s="8"/>
      <c r="D291" s="9"/>
      <c r="E291" s="12" t="str">
        <f aca="false">IF(AND(C291&lt;&gt;"",D291&lt;&gt;""),C291*D291,"")</f>
        <v/>
      </c>
      <c r="F291" s="13"/>
    </row>
    <row r="292" customFormat="false" ht="15" hidden="false" customHeight="true" outlineLevel="0" collapsed="false">
      <c r="A292" s="11"/>
      <c r="B292" s="8"/>
      <c r="C292" s="8"/>
      <c r="D292" s="9"/>
      <c r="E292" s="12" t="str">
        <f aca="false">IF(AND(C292&lt;&gt;"",D292&lt;&gt;""),C292*D292,"")</f>
        <v/>
      </c>
      <c r="F292" s="13"/>
    </row>
    <row r="293" customFormat="false" ht="15" hidden="false" customHeight="true" outlineLevel="0" collapsed="false">
      <c r="A293" s="11"/>
      <c r="B293" s="8"/>
      <c r="C293" s="8"/>
      <c r="D293" s="9"/>
      <c r="E293" s="12" t="str">
        <f aca="false">IF(AND(C293&lt;&gt;"",D293&lt;&gt;""),C293*D293,"")</f>
        <v/>
      </c>
      <c r="F293" s="13"/>
    </row>
    <row r="294" customFormat="false" ht="15" hidden="false" customHeight="true" outlineLevel="0" collapsed="false">
      <c r="A294" s="11"/>
      <c r="B294" s="8"/>
      <c r="C294" s="8"/>
      <c r="D294" s="9"/>
      <c r="E294" s="12" t="str">
        <f aca="false">IF(AND(C294&lt;&gt;"",D294&lt;&gt;""),C294*D294,"")</f>
        <v/>
      </c>
      <c r="F294" s="13"/>
    </row>
    <row r="295" customFormat="false" ht="15" hidden="false" customHeight="true" outlineLevel="0" collapsed="false">
      <c r="A295" s="11"/>
      <c r="B295" s="8"/>
      <c r="C295" s="8"/>
      <c r="D295" s="9"/>
      <c r="E295" s="12" t="str">
        <f aca="false">IF(AND(C295&lt;&gt;"",D295&lt;&gt;""),C295*D295,"")</f>
        <v/>
      </c>
      <c r="F295" s="13"/>
    </row>
    <row r="296" customFormat="false" ht="15" hidden="false" customHeight="true" outlineLevel="0" collapsed="false">
      <c r="A296" s="11"/>
      <c r="B296" s="8"/>
      <c r="C296" s="8"/>
      <c r="D296" s="9"/>
      <c r="E296" s="12" t="str">
        <f aca="false">IF(AND(C296&lt;&gt;"",D296&lt;&gt;""),C296*D296,"")</f>
        <v/>
      </c>
      <c r="F296" s="13"/>
    </row>
    <row r="297" customFormat="false" ht="15" hidden="false" customHeight="true" outlineLevel="0" collapsed="false">
      <c r="A297" s="11"/>
      <c r="B297" s="8"/>
      <c r="C297" s="8"/>
      <c r="D297" s="9"/>
      <c r="E297" s="12" t="str">
        <f aca="false">IF(AND(C297&lt;&gt;"",D297&lt;&gt;""),C297*D297,"")</f>
        <v/>
      </c>
      <c r="F297" s="13"/>
    </row>
    <row r="298" customFormat="false" ht="15" hidden="false" customHeight="true" outlineLevel="0" collapsed="false">
      <c r="A298" s="11"/>
      <c r="B298" s="8"/>
      <c r="C298" s="8"/>
      <c r="D298" s="9"/>
      <c r="E298" s="12" t="str">
        <f aca="false">IF(AND(C298&lt;&gt;"",D298&lt;&gt;""),C298*D298,"")</f>
        <v/>
      </c>
      <c r="F298" s="13"/>
    </row>
    <row r="299" customFormat="false" ht="15" hidden="false" customHeight="true" outlineLevel="0" collapsed="false">
      <c r="A299" s="11"/>
      <c r="B299" s="8"/>
      <c r="C299" s="8"/>
      <c r="D299" s="9"/>
      <c r="E299" s="12" t="str">
        <f aca="false">IF(AND(C299&lt;&gt;"",D299&lt;&gt;""),C299*D299,"")</f>
        <v/>
      </c>
      <c r="F299" s="13"/>
    </row>
    <row r="300" customFormat="false" ht="15" hidden="false" customHeight="true" outlineLevel="0" collapsed="false">
      <c r="A300" s="11"/>
      <c r="B300" s="8"/>
      <c r="C300" s="8"/>
      <c r="D300" s="9"/>
      <c r="E300" s="12" t="str">
        <f aca="false">IF(AND(C300&lt;&gt;"",D300&lt;&gt;""),C300*D300,"")</f>
        <v/>
      </c>
      <c r="F300" s="13"/>
    </row>
    <row r="301" customFormat="false" ht="15" hidden="false" customHeight="true" outlineLevel="0" collapsed="false">
      <c r="A301" s="11"/>
      <c r="B301" s="8"/>
      <c r="C301" s="8"/>
      <c r="D301" s="9"/>
      <c r="E301" s="12" t="str">
        <f aca="false">IF(AND(C301&lt;&gt;"",D301&lt;&gt;""),C301*D301,"")</f>
        <v/>
      </c>
      <c r="F301" s="13"/>
    </row>
    <row r="302" customFormat="false" ht="15" hidden="false" customHeight="true" outlineLevel="0" collapsed="false">
      <c r="A302" s="11"/>
      <c r="B302" s="8"/>
      <c r="C302" s="8"/>
      <c r="D302" s="9"/>
      <c r="E302" s="12" t="str">
        <f aca="false">IF(AND(C302&lt;&gt;"",D302&lt;&gt;""),C302*D302,"")</f>
        <v/>
      </c>
      <c r="F302" s="13"/>
    </row>
    <row r="303" customFormat="false" ht="15" hidden="false" customHeight="true" outlineLevel="0" collapsed="false">
      <c r="A303" s="11"/>
      <c r="B303" s="8"/>
      <c r="C303" s="8"/>
      <c r="D303" s="9"/>
      <c r="E303" s="12" t="str">
        <f aca="false">IF(AND(C303&lt;&gt;"",D303&lt;&gt;""),C303*D303,"")</f>
        <v/>
      </c>
      <c r="F303" s="13"/>
    </row>
    <row r="304" customFormat="false" ht="15" hidden="false" customHeight="true" outlineLevel="0" collapsed="false">
      <c r="A304" s="11"/>
      <c r="B304" s="8"/>
      <c r="C304" s="8"/>
      <c r="D304" s="9"/>
      <c r="E304" s="12" t="str">
        <f aca="false">IF(AND(C304&lt;&gt;"",D304&lt;&gt;""),C304*D304,"")</f>
        <v/>
      </c>
      <c r="F304" s="13"/>
    </row>
    <row r="305" customFormat="false" ht="15" hidden="false" customHeight="true" outlineLevel="0" collapsed="false">
      <c r="A305" s="11"/>
      <c r="B305" s="8"/>
      <c r="C305" s="8"/>
      <c r="D305" s="9"/>
      <c r="E305" s="12" t="str">
        <f aca="false">IF(AND(C305&lt;&gt;"",D305&lt;&gt;""),C305*D305,"")</f>
        <v/>
      </c>
      <c r="F305" s="13"/>
    </row>
    <row r="306" customFormat="false" ht="15" hidden="false" customHeight="true" outlineLevel="0" collapsed="false">
      <c r="A306" s="11"/>
      <c r="B306" s="8"/>
      <c r="C306" s="8"/>
      <c r="D306" s="9"/>
      <c r="E306" s="12" t="str">
        <f aca="false">IF(AND(C306&lt;&gt;"",D306&lt;&gt;""),C306*D306,"")</f>
        <v/>
      </c>
      <c r="F306" s="13"/>
    </row>
    <row r="307" customFormat="false" ht="15" hidden="false" customHeight="true" outlineLevel="0" collapsed="false">
      <c r="A307" s="11"/>
      <c r="B307" s="8"/>
      <c r="C307" s="8"/>
      <c r="D307" s="9"/>
      <c r="E307" s="12" t="str">
        <f aca="false">IF(AND(C307&lt;&gt;"",D307&lt;&gt;""),C307*D307,"")</f>
        <v/>
      </c>
      <c r="F307" s="13"/>
    </row>
    <row r="308" customFormat="false" ht="15" hidden="false" customHeight="true" outlineLevel="0" collapsed="false">
      <c r="A308" s="11"/>
      <c r="B308" s="8"/>
      <c r="C308" s="8"/>
      <c r="D308" s="9"/>
      <c r="E308" s="12" t="str">
        <f aca="false">IF(AND(C308&lt;&gt;"",D308&lt;&gt;""),C308*D308,"")</f>
        <v/>
      </c>
      <c r="F308" s="13"/>
    </row>
    <row r="309" customFormat="false" ht="15" hidden="false" customHeight="true" outlineLevel="0" collapsed="false">
      <c r="A309" s="11"/>
      <c r="B309" s="8"/>
      <c r="C309" s="8"/>
      <c r="D309" s="9"/>
      <c r="E309" s="12" t="str">
        <f aca="false">IF(AND(C309&lt;&gt;"",D309&lt;&gt;""),C309*D309,"")</f>
        <v/>
      </c>
      <c r="F309" s="13"/>
    </row>
    <row r="310" customFormat="false" ht="15" hidden="false" customHeight="true" outlineLevel="0" collapsed="false">
      <c r="A310" s="11"/>
      <c r="B310" s="8"/>
      <c r="C310" s="8"/>
      <c r="D310" s="9"/>
      <c r="E310" s="12" t="str">
        <f aca="false">IF(AND(C310&lt;&gt;"",D310&lt;&gt;""),C310*D310,"")</f>
        <v/>
      </c>
      <c r="F310" s="13"/>
    </row>
    <row r="311" customFormat="false" ht="15" hidden="false" customHeight="true" outlineLevel="0" collapsed="false">
      <c r="A311" s="11"/>
      <c r="B311" s="8"/>
      <c r="C311" s="8"/>
      <c r="D311" s="9"/>
      <c r="E311" s="12" t="str">
        <f aca="false">IF(AND(C311&lt;&gt;"",D311&lt;&gt;""),C311*D311,"")</f>
        <v/>
      </c>
      <c r="F311" s="13"/>
    </row>
    <row r="312" customFormat="false" ht="15" hidden="false" customHeight="true" outlineLevel="0" collapsed="false">
      <c r="A312" s="11"/>
      <c r="B312" s="8"/>
      <c r="C312" s="8"/>
      <c r="D312" s="9"/>
      <c r="E312" s="12" t="str">
        <f aca="false">IF(AND(C312&lt;&gt;"",D312&lt;&gt;""),C312*D312,"")</f>
        <v/>
      </c>
      <c r="F312" s="13"/>
    </row>
    <row r="313" customFormat="false" ht="15" hidden="false" customHeight="true" outlineLevel="0" collapsed="false">
      <c r="A313" s="11"/>
      <c r="B313" s="8"/>
      <c r="C313" s="8"/>
      <c r="D313" s="9"/>
      <c r="E313" s="12" t="str">
        <f aca="false">IF(AND(C313&lt;&gt;"",D313&lt;&gt;""),C313*D313,"")</f>
        <v/>
      </c>
      <c r="F313" s="13"/>
    </row>
    <row r="314" customFormat="false" ht="15" hidden="false" customHeight="true" outlineLevel="0" collapsed="false">
      <c r="A314" s="11"/>
      <c r="B314" s="8"/>
      <c r="C314" s="8"/>
      <c r="D314" s="9"/>
      <c r="E314" s="12" t="str">
        <f aca="false">IF(AND(C314&lt;&gt;"",D314&lt;&gt;""),C314*D314,"")</f>
        <v/>
      </c>
      <c r="F314" s="13"/>
    </row>
    <row r="315" customFormat="false" ht="15" hidden="false" customHeight="true" outlineLevel="0" collapsed="false">
      <c r="A315" s="11"/>
      <c r="B315" s="8"/>
      <c r="C315" s="8"/>
      <c r="D315" s="9"/>
      <c r="E315" s="12" t="str">
        <f aca="false">IF(AND(C315&lt;&gt;"",D315&lt;&gt;""),C315*D315,"")</f>
        <v/>
      </c>
      <c r="F315" s="13"/>
    </row>
    <row r="316" customFormat="false" ht="15" hidden="false" customHeight="true" outlineLevel="0" collapsed="false">
      <c r="A316" s="11"/>
      <c r="B316" s="8"/>
      <c r="C316" s="8"/>
      <c r="D316" s="9"/>
      <c r="E316" s="12" t="str">
        <f aca="false">IF(AND(C316&lt;&gt;"",D316&lt;&gt;""),C316*D316,"")</f>
        <v/>
      </c>
      <c r="F316" s="13"/>
    </row>
    <row r="317" customFormat="false" ht="15" hidden="false" customHeight="true" outlineLevel="0" collapsed="false">
      <c r="A317" s="11"/>
      <c r="B317" s="8"/>
      <c r="C317" s="8"/>
      <c r="D317" s="9"/>
      <c r="E317" s="12" t="str">
        <f aca="false">IF(AND(C317&lt;&gt;"",D317&lt;&gt;""),C317*D317,"")</f>
        <v/>
      </c>
      <c r="F317" s="13"/>
    </row>
    <row r="318" customFormat="false" ht="15" hidden="false" customHeight="true" outlineLevel="0" collapsed="false">
      <c r="A318" s="11"/>
      <c r="B318" s="8"/>
      <c r="C318" s="8"/>
      <c r="D318" s="9"/>
      <c r="E318" s="12" t="str">
        <f aca="false">IF(AND(C318&lt;&gt;"",D318&lt;&gt;""),C318*D318,"")</f>
        <v/>
      </c>
      <c r="F318" s="13"/>
    </row>
    <row r="319" customFormat="false" ht="15" hidden="false" customHeight="true" outlineLevel="0" collapsed="false">
      <c r="A319" s="11"/>
      <c r="B319" s="8"/>
      <c r="C319" s="8"/>
      <c r="D319" s="9"/>
      <c r="E319" s="12" t="str">
        <f aca="false">IF(AND(C319&lt;&gt;"",D319&lt;&gt;""),C319*D319,"")</f>
        <v/>
      </c>
      <c r="F319" s="13"/>
    </row>
    <row r="320" customFormat="false" ht="15" hidden="false" customHeight="true" outlineLevel="0" collapsed="false">
      <c r="A320" s="11"/>
      <c r="B320" s="8"/>
      <c r="C320" s="8"/>
      <c r="D320" s="9"/>
      <c r="E320" s="12" t="str">
        <f aca="false">IF(AND(C320&lt;&gt;"",D320&lt;&gt;""),C320*D320,"")</f>
        <v/>
      </c>
      <c r="F320" s="13"/>
    </row>
    <row r="321" customFormat="false" ht="15" hidden="false" customHeight="true" outlineLevel="0" collapsed="false">
      <c r="A321" s="11"/>
      <c r="B321" s="8"/>
      <c r="C321" s="8"/>
      <c r="D321" s="9"/>
      <c r="E321" s="12" t="str">
        <f aca="false">IF(AND(C321&lt;&gt;"",D321&lt;&gt;""),C321*D321,"")</f>
        <v/>
      </c>
      <c r="F321" s="13"/>
    </row>
    <row r="322" customFormat="false" ht="15" hidden="false" customHeight="true" outlineLevel="0" collapsed="false">
      <c r="A322" s="11"/>
      <c r="B322" s="8"/>
      <c r="C322" s="8"/>
      <c r="D322" s="9"/>
      <c r="E322" s="12" t="str">
        <f aca="false">IF(AND(C322&lt;&gt;"",D322&lt;&gt;""),C322*D322,"")</f>
        <v/>
      </c>
      <c r="F322" s="13"/>
    </row>
    <row r="323" customFormat="false" ht="15" hidden="false" customHeight="true" outlineLevel="0" collapsed="false">
      <c r="A323" s="11"/>
      <c r="B323" s="8"/>
      <c r="C323" s="8"/>
      <c r="D323" s="9"/>
      <c r="E323" s="12" t="str">
        <f aca="false">IF(AND(C323&lt;&gt;"",D323&lt;&gt;""),C323*D323,"")</f>
        <v/>
      </c>
      <c r="F323" s="13"/>
    </row>
    <row r="324" customFormat="false" ht="15" hidden="false" customHeight="true" outlineLevel="0" collapsed="false">
      <c r="A324" s="11"/>
      <c r="B324" s="8"/>
      <c r="C324" s="8"/>
      <c r="D324" s="9"/>
      <c r="E324" s="12" t="str">
        <f aca="false">IF(AND(C324&lt;&gt;"",D324&lt;&gt;""),C324*D324,"")</f>
        <v/>
      </c>
      <c r="F324" s="13"/>
    </row>
    <row r="325" customFormat="false" ht="15" hidden="false" customHeight="true" outlineLevel="0" collapsed="false">
      <c r="A325" s="11"/>
      <c r="B325" s="8"/>
      <c r="C325" s="8"/>
      <c r="D325" s="9"/>
      <c r="E325" s="12" t="str">
        <f aca="false">IF(AND(C325&lt;&gt;"",D325&lt;&gt;""),C325*D325,"")</f>
        <v/>
      </c>
      <c r="F325" s="13"/>
    </row>
    <row r="326" customFormat="false" ht="15" hidden="false" customHeight="true" outlineLevel="0" collapsed="false">
      <c r="A326" s="11"/>
      <c r="B326" s="8"/>
      <c r="C326" s="8"/>
      <c r="D326" s="9"/>
      <c r="E326" s="12" t="str">
        <f aca="false">IF(AND(C326&lt;&gt;"",D326&lt;&gt;""),C326*D326,"")</f>
        <v/>
      </c>
      <c r="F326" s="13"/>
    </row>
    <row r="327" customFormat="false" ht="15" hidden="false" customHeight="true" outlineLevel="0" collapsed="false">
      <c r="A327" s="11"/>
      <c r="B327" s="8"/>
      <c r="C327" s="8"/>
      <c r="D327" s="9"/>
      <c r="E327" s="12" t="str">
        <f aca="false">IF(AND(C327&lt;&gt;"",D327&lt;&gt;""),C327*D327,"")</f>
        <v/>
      </c>
      <c r="F327" s="13"/>
    </row>
    <row r="328" customFormat="false" ht="15" hidden="false" customHeight="true" outlineLevel="0" collapsed="false">
      <c r="A328" s="11"/>
      <c r="B328" s="8"/>
      <c r="C328" s="8"/>
      <c r="D328" s="9"/>
      <c r="E328" s="12" t="str">
        <f aca="false">IF(AND(C328&lt;&gt;"",D328&lt;&gt;""),C328*D328,"")</f>
        <v/>
      </c>
      <c r="F328" s="13"/>
    </row>
    <row r="329" customFormat="false" ht="15" hidden="false" customHeight="true" outlineLevel="0" collapsed="false">
      <c r="A329" s="11"/>
      <c r="B329" s="8"/>
      <c r="C329" s="8"/>
      <c r="D329" s="9"/>
      <c r="E329" s="12" t="str">
        <f aca="false">IF(AND(C329&lt;&gt;"",D329&lt;&gt;""),C329*D329,"")</f>
        <v/>
      </c>
      <c r="F329" s="13"/>
    </row>
    <row r="330" customFormat="false" ht="15" hidden="false" customHeight="true" outlineLevel="0" collapsed="false">
      <c r="A330" s="11"/>
      <c r="B330" s="8"/>
      <c r="C330" s="8"/>
      <c r="D330" s="9"/>
      <c r="E330" s="12" t="str">
        <f aca="false">IF(AND(C330&lt;&gt;"",D330&lt;&gt;""),C330*D330,"")</f>
        <v/>
      </c>
      <c r="F330" s="13"/>
    </row>
    <row r="331" customFormat="false" ht="15" hidden="false" customHeight="true" outlineLevel="0" collapsed="false">
      <c r="A331" s="11"/>
      <c r="B331" s="8"/>
      <c r="C331" s="8"/>
      <c r="D331" s="9"/>
      <c r="E331" s="12" t="str">
        <f aca="false">IF(AND(C331&lt;&gt;"",D331&lt;&gt;""),C331*D331,"")</f>
        <v/>
      </c>
      <c r="F331" s="13"/>
    </row>
    <row r="332" customFormat="false" ht="15" hidden="false" customHeight="true" outlineLevel="0" collapsed="false">
      <c r="A332" s="11"/>
      <c r="B332" s="8"/>
      <c r="C332" s="8"/>
      <c r="D332" s="9"/>
      <c r="E332" s="12" t="str">
        <f aca="false">IF(AND(C332&lt;&gt;"",D332&lt;&gt;""),C332*D332,"")</f>
        <v/>
      </c>
      <c r="F332" s="13"/>
    </row>
    <row r="333" customFormat="false" ht="15" hidden="false" customHeight="true" outlineLevel="0" collapsed="false">
      <c r="A333" s="11"/>
      <c r="B333" s="8"/>
      <c r="C333" s="8"/>
      <c r="D333" s="9"/>
      <c r="E333" s="12" t="str">
        <f aca="false">IF(AND(C333&lt;&gt;"",D333&lt;&gt;""),C333*D333,"")</f>
        <v/>
      </c>
      <c r="F333" s="13"/>
    </row>
    <row r="334" customFormat="false" ht="15" hidden="false" customHeight="true" outlineLevel="0" collapsed="false">
      <c r="A334" s="11"/>
      <c r="B334" s="8"/>
      <c r="C334" s="8"/>
      <c r="D334" s="9"/>
      <c r="E334" s="12" t="str">
        <f aca="false">IF(AND(C334&lt;&gt;"",D334&lt;&gt;""),C334*D334,"")</f>
        <v/>
      </c>
      <c r="F334" s="13"/>
    </row>
    <row r="335" customFormat="false" ht="15" hidden="false" customHeight="true" outlineLevel="0" collapsed="false">
      <c r="A335" s="11"/>
      <c r="B335" s="8"/>
      <c r="C335" s="8"/>
      <c r="D335" s="9"/>
      <c r="E335" s="12" t="str">
        <f aca="false">IF(AND(C335&lt;&gt;"",D335&lt;&gt;""),C335*D335,"")</f>
        <v/>
      </c>
      <c r="F335" s="13"/>
    </row>
    <row r="336" customFormat="false" ht="15" hidden="false" customHeight="true" outlineLevel="0" collapsed="false">
      <c r="A336" s="11"/>
      <c r="B336" s="8"/>
      <c r="C336" s="8"/>
      <c r="D336" s="9"/>
      <c r="E336" s="12" t="str">
        <f aca="false">IF(AND(C336&lt;&gt;"",D336&lt;&gt;""),C336*D336,"")</f>
        <v/>
      </c>
      <c r="F336" s="13"/>
    </row>
    <row r="337" customFormat="false" ht="15" hidden="false" customHeight="true" outlineLevel="0" collapsed="false">
      <c r="A337" s="11"/>
      <c r="B337" s="8"/>
      <c r="C337" s="8"/>
      <c r="D337" s="9"/>
      <c r="E337" s="12" t="str">
        <f aca="false">IF(AND(C337&lt;&gt;"",D337&lt;&gt;""),C337*D337,"")</f>
        <v/>
      </c>
      <c r="F337" s="13"/>
    </row>
    <row r="338" customFormat="false" ht="15" hidden="false" customHeight="true" outlineLevel="0" collapsed="false">
      <c r="A338" s="11"/>
      <c r="B338" s="8"/>
      <c r="C338" s="8"/>
      <c r="D338" s="9"/>
      <c r="E338" s="12" t="str">
        <f aca="false">IF(AND(C338&lt;&gt;"",D338&lt;&gt;""),C338*D338,"")</f>
        <v/>
      </c>
      <c r="F338" s="13"/>
    </row>
    <row r="339" customFormat="false" ht="15" hidden="false" customHeight="true" outlineLevel="0" collapsed="false">
      <c r="A339" s="11"/>
      <c r="B339" s="8"/>
      <c r="C339" s="8"/>
      <c r="D339" s="9"/>
      <c r="E339" s="12" t="str">
        <f aca="false">IF(AND(C339&lt;&gt;"",D339&lt;&gt;""),C339*D339,"")</f>
        <v/>
      </c>
      <c r="F339" s="13"/>
    </row>
    <row r="340" customFormat="false" ht="15" hidden="false" customHeight="true" outlineLevel="0" collapsed="false">
      <c r="A340" s="11"/>
      <c r="B340" s="8"/>
      <c r="C340" s="8"/>
      <c r="D340" s="9"/>
      <c r="E340" s="12" t="str">
        <f aca="false">IF(AND(C340&lt;&gt;"",D340&lt;&gt;""),C340*D340,"")</f>
        <v/>
      </c>
      <c r="F340" s="13"/>
    </row>
    <row r="341" customFormat="false" ht="15" hidden="false" customHeight="true" outlineLevel="0" collapsed="false">
      <c r="A341" s="11"/>
      <c r="B341" s="8"/>
      <c r="C341" s="8"/>
      <c r="D341" s="9"/>
      <c r="E341" s="12" t="str">
        <f aca="false">IF(AND(C341&lt;&gt;"",D341&lt;&gt;""),C341*D341,"")</f>
        <v/>
      </c>
      <c r="F341" s="13"/>
    </row>
    <row r="342" customFormat="false" ht="15" hidden="false" customHeight="true" outlineLevel="0" collapsed="false">
      <c r="A342" s="11"/>
      <c r="B342" s="8"/>
      <c r="C342" s="8"/>
      <c r="D342" s="9"/>
      <c r="E342" s="12" t="str">
        <f aca="false">IF(AND(C342&lt;&gt;"",D342&lt;&gt;""),C342*D342,"")</f>
        <v/>
      </c>
      <c r="F342" s="13"/>
    </row>
    <row r="343" customFormat="false" ht="15" hidden="false" customHeight="true" outlineLevel="0" collapsed="false">
      <c r="A343" s="11"/>
      <c r="B343" s="8"/>
      <c r="C343" s="8"/>
      <c r="D343" s="9"/>
      <c r="E343" s="12" t="str">
        <f aca="false">IF(AND(C343&lt;&gt;"",D343&lt;&gt;""),C343*D343,"")</f>
        <v/>
      </c>
      <c r="F343" s="13"/>
    </row>
    <row r="344" customFormat="false" ht="15" hidden="false" customHeight="true" outlineLevel="0" collapsed="false">
      <c r="A344" s="11"/>
      <c r="B344" s="8"/>
      <c r="C344" s="8"/>
      <c r="D344" s="9"/>
      <c r="E344" s="12" t="str">
        <f aca="false">IF(AND(C344&lt;&gt;"",D344&lt;&gt;""),C344*D344,"")</f>
        <v/>
      </c>
      <c r="F344" s="13"/>
    </row>
    <row r="345" customFormat="false" ht="15" hidden="false" customHeight="true" outlineLevel="0" collapsed="false">
      <c r="A345" s="11"/>
      <c r="B345" s="8"/>
      <c r="C345" s="8"/>
      <c r="D345" s="9"/>
      <c r="E345" s="12" t="str">
        <f aca="false">IF(AND(C345&lt;&gt;"",D345&lt;&gt;""),C345*D345,"")</f>
        <v/>
      </c>
      <c r="F345" s="13"/>
    </row>
    <row r="346" customFormat="false" ht="15" hidden="false" customHeight="true" outlineLevel="0" collapsed="false">
      <c r="A346" s="11"/>
      <c r="B346" s="8"/>
      <c r="C346" s="8"/>
      <c r="D346" s="9"/>
      <c r="E346" s="12" t="str">
        <f aca="false">IF(AND(C346&lt;&gt;"",D346&lt;&gt;""),C346*D346,"")</f>
        <v/>
      </c>
      <c r="F346" s="13"/>
    </row>
    <row r="347" customFormat="false" ht="15" hidden="false" customHeight="true" outlineLevel="0" collapsed="false">
      <c r="A347" s="11"/>
      <c r="B347" s="8"/>
      <c r="C347" s="8"/>
      <c r="D347" s="9"/>
      <c r="E347" s="12" t="str">
        <f aca="false">IF(AND(C347&lt;&gt;"",D347&lt;&gt;""),C347*D347,"")</f>
        <v/>
      </c>
      <c r="F347" s="13"/>
    </row>
    <row r="348" customFormat="false" ht="15" hidden="false" customHeight="true" outlineLevel="0" collapsed="false">
      <c r="A348" s="11"/>
      <c r="B348" s="8"/>
      <c r="C348" s="8"/>
      <c r="D348" s="9"/>
      <c r="E348" s="12" t="str">
        <f aca="false">IF(AND(C348&lt;&gt;"",D348&lt;&gt;""),C348*D348,"")</f>
        <v/>
      </c>
      <c r="F348" s="13"/>
    </row>
    <row r="349" customFormat="false" ht="15" hidden="false" customHeight="true" outlineLevel="0" collapsed="false">
      <c r="A349" s="11"/>
      <c r="B349" s="8"/>
      <c r="C349" s="8"/>
      <c r="D349" s="9"/>
      <c r="E349" s="12" t="str">
        <f aca="false">IF(AND(C349&lt;&gt;"",D349&lt;&gt;""),C349*D349,"")</f>
        <v/>
      </c>
      <c r="F349" s="13"/>
    </row>
    <row r="350" customFormat="false" ht="15" hidden="false" customHeight="true" outlineLevel="0" collapsed="false">
      <c r="A350" s="11"/>
      <c r="B350" s="8"/>
      <c r="C350" s="8"/>
      <c r="D350" s="9"/>
      <c r="E350" s="12" t="str">
        <f aca="false">IF(AND(C350&lt;&gt;"",D350&lt;&gt;""),C350*D350,"")</f>
        <v/>
      </c>
      <c r="F350" s="13"/>
    </row>
    <row r="351" customFormat="false" ht="15" hidden="false" customHeight="true" outlineLevel="0" collapsed="false">
      <c r="A351" s="11"/>
      <c r="B351" s="8"/>
      <c r="C351" s="8"/>
      <c r="D351" s="9"/>
      <c r="E351" s="12" t="str">
        <f aca="false">IF(AND(C351&lt;&gt;"",D351&lt;&gt;""),C351*D351,"")</f>
        <v/>
      </c>
      <c r="F351" s="13"/>
    </row>
    <row r="352" customFormat="false" ht="15" hidden="false" customHeight="true" outlineLevel="0" collapsed="false">
      <c r="A352" s="11"/>
      <c r="B352" s="8"/>
      <c r="C352" s="8"/>
      <c r="D352" s="9"/>
      <c r="E352" s="12" t="str">
        <f aca="false">IF(AND(C352&lt;&gt;"",D352&lt;&gt;""),C352*D352,"")</f>
        <v/>
      </c>
      <c r="F352" s="13"/>
    </row>
    <row r="353" customFormat="false" ht="15" hidden="false" customHeight="true" outlineLevel="0" collapsed="false">
      <c r="A353" s="11"/>
      <c r="B353" s="8"/>
      <c r="C353" s="8"/>
      <c r="D353" s="9"/>
      <c r="E353" s="12" t="str">
        <f aca="false">IF(AND(C353&lt;&gt;"",D353&lt;&gt;""),C353*D353,"")</f>
        <v/>
      </c>
      <c r="F353" s="13"/>
    </row>
    <row r="354" customFormat="false" ht="15" hidden="false" customHeight="true" outlineLevel="0" collapsed="false">
      <c r="A354" s="11"/>
      <c r="B354" s="8"/>
      <c r="C354" s="8"/>
      <c r="D354" s="9"/>
      <c r="E354" s="12" t="str">
        <f aca="false">IF(AND(C354&lt;&gt;"",D354&lt;&gt;""),C354*D354,"")</f>
        <v/>
      </c>
      <c r="F354" s="13"/>
    </row>
    <row r="355" customFormat="false" ht="15" hidden="false" customHeight="true" outlineLevel="0" collapsed="false">
      <c r="A355" s="11"/>
      <c r="B355" s="8"/>
      <c r="C355" s="8"/>
      <c r="D355" s="9"/>
      <c r="E355" s="12" t="str">
        <f aca="false">IF(AND(C355&lt;&gt;"",D355&lt;&gt;""),C355*D355,"")</f>
        <v/>
      </c>
      <c r="F355" s="13"/>
    </row>
    <row r="356" customFormat="false" ht="15" hidden="false" customHeight="true" outlineLevel="0" collapsed="false">
      <c r="A356" s="11"/>
      <c r="B356" s="8"/>
      <c r="C356" s="8"/>
      <c r="D356" s="9"/>
      <c r="E356" s="12" t="str">
        <f aca="false">IF(AND(C356&lt;&gt;"",D356&lt;&gt;""),C356*D356,"")</f>
        <v/>
      </c>
      <c r="F356" s="13"/>
    </row>
    <row r="357" customFormat="false" ht="15" hidden="false" customHeight="true" outlineLevel="0" collapsed="false">
      <c r="A357" s="11"/>
      <c r="B357" s="8"/>
      <c r="C357" s="8"/>
      <c r="D357" s="9"/>
      <c r="E357" s="12" t="str">
        <f aca="false">IF(AND(C357&lt;&gt;"",D357&lt;&gt;""),C357*D357,"")</f>
        <v/>
      </c>
      <c r="F357" s="13"/>
    </row>
    <row r="358" customFormat="false" ht="15" hidden="false" customHeight="true" outlineLevel="0" collapsed="false">
      <c r="A358" s="11"/>
      <c r="B358" s="8"/>
      <c r="C358" s="8"/>
      <c r="D358" s="9"/>
      <c r="E358" s="12" t="str">
        <f aca="false">IF(AND(C358&lt;&gt;"",D358&lt;&gt;""),C358*D358,"")</f>
        <v/>
      </c>
      <c r="F358" s="13"/>
    </row>
    <row r="359" customFormat="false" ht="15" hidden="false" customHeight="true" outlineLevel="0" collapsed="false">
      <c r="A359" s="11"/>
      <c r="B359" s="8"/>
      <c r="C359" s="8"/>
      <c r="D359" s="9"/>
      <c r="E359" s="12" t="str">
        <f aca="false">IF(AND(C359&lt;&gt;"",D359&lt;&gt;""),C359*D359,"")</f>
        <v/>
      </c>
      <c r="F359" s="13"/>
    </row>
    <row r="360" customFormat="false" ht="15" hidden="false" customHeight="true" outlineLevel="0" collapsed="false">
      <c r="A360" s="11"/>
      <c r="B360" s="8"/>
      <c r="C360" s="8"/>
      <c r="D360" s="9"/>
      <c r="E360" s="12" t="str">
        <f aca="false">IF(AND(C360&lt;&gt;"",D360&lt;&gt;""),C360*D360,"")</f>
        <v/>
      </c>
      <c r="F360" s="13"/>
    </row>
    <row r="361" customFormat="false" ht="15" hidden="false" customHeight="true" outlineLevel="0" collapsed="false">
      <c r="A361" s="11"/>
      <c r="B361" s="8"/>
      <c r="C361" s="8"/>
      <c r="D361" s="9"/>
      <c r="E361" s="12" t="str">
        <f aca="false">IF(AND(C361&lt;&gt;"",D361&lt;&gt;""),C361*D361,"")</f>
        <v/>
      </c>
      <c r="F361" s="13"/>
    </row>
    <row r="362" customFormat="false" ht="15" hidden="false" customHeight="true" outlineLevel="0" collapsed="false">
      <c r="A362" s="11"/>
      <c r="B362" s="8"/>
      <c r="C362" s="8"/>
      <c r="D362" s="9"/>
      <c r="E362" s="12" t="str">
        <f aca="false">IF(AND(C362&lt;&gt;"",D362&lt;&gt;""),C362*D362,"")</f>
        <v/>
      </c>
      <c r="F362" s="13"/>
    </row>
    <row r="363" customFormat="false" ht="15" hidden="false" customHeight="true" outlineLevel="0" collapsed="false">
      <c r="A363" s="11"/>
      <c r="B363" s="8"/>
      <c r="C363" s="8"/>
      <c r="D363" s="9"/>
      <c r="E363" s="12" t="str">
        <f aca="false">IF(AND(C363&lt;&gt;"",D363&lt;&gt;""),C363*D363,"")</f>
        <v/>
      </c>
      <c r="F363" s="13"/>
    </row>
    <row r="364" customFormat="false" ht="15" hidden="false" customHeight="true" outlineLevel="0" collapsed="false">
      <c r="A364" s="11"/>
      <c r="B364" s="8"/>
      <c r="C364" s="8"/>
      <c r="D364" s="9"/>
      <c r="E364" s="12" t="str">
        <f aca="false">IF(AND(C364&lt;&gt;"",D364&lt;&gt;""),C364*D364,"")</f>
        <v/>
      </c>
      <c r="F364" s="13"/>
    </row>
    <row r="365" customFormat="false" ht="15" hidden="false" customHeight="true" outlineLevel="0" collapsed="false">
      <c r="A365" s="11"/>
      <c r="B365" s="8"/>
      <c r="C365" s="8"/>
      <c r="D365" s="9"/>
      <c r="E365" s="12" t="str">
        <f aca="false">IF(AND(C365&lt;&gt;"",D365&lt;&gt;""),C365*D365,"")</f>
        <v/>
      </c>
      <c r="F365" s="13"/>
    </row>
    <row r="366" customFormat="false" ht="15" hidden="false" customHeight="true" outlineLevel="0" collapsed="false">
      <c r="A366" s="11"/>
      <c r="B366" s="8"/>
      <c r="C366" s="8"/>
      <c r="D366" s="9"/>
      <c r="E366" s="12" t="str">
        <f aca="false">IF(AND(C366&lt;&gt;"",D366&lt;&gt;""),C366*D366,"")</f>
        <v/>
      </c>
      <c r="F366" s="13"/>
    </row>
    <row r="367" customFormat="false" ht="15" hidden="false" customHeight="true" outlineLevel="0" collapsed="false">
      <c r="A367" s="11"/>
      <c r="B367" s="8"/>
      <c r="C367" s="8"/>
      <c r="D367" s="9"/>
      <c r="E367" s="12" t="str">
        <f aca="false">IF(AND(C367&lt;&gt;"",D367&lt;&gt;""),C367*D367,"")</f>
        <v/>
      </c>
      <c r="F367" s="13"/>
    </row>
    <row r="368" customFormat="false" ht="15" hidden="false" customHeight="true" outlineLevel="0" collapsed="false">
      <c r="A368" s="11"/>
      <c r="B368" s="8"/>
      <c r="C368" s="8"/>
      <c r="D368" s="9"/>
      <c r="E368" s="12" t="str">
        <f aca="false">IF(AND(C368&lt;&gt;"",D368&lt;&gt;""),C368*D368,"")</f>
        <v/>
      </c>
      <c r="F368" s="13"/>
    </row>
    <row r="369" customFormat="false" ht="15" hidden="false" customHeight="true" outlineLevel="0" collapsed="false">
      <c r="A369" s="11"/>
      <c r="B369" s="8"/>
      <c r="C369" s="8"/>
      <c r="D369" s="9"/>
      <c r="E369" s="12" t="str">
        <f aca="false">IF(AND(C369&lt;&gt;"",D369&lt;&gt;""),C369*D369,"")</f>
        <v/>
      </c>
      <c r="F369" s="13"/>
    </row>
    <row r="370" customFormat="false" ht="15" hidden="false" customHeight="true" outlineLevel="0" collapsed="false">
      <c r="A370" s="11"/>
      <c r="B370" s="8"/>
      <c r="C370" s="8"/>
      <c r="D370" s="9"/>
      <c r="E370" s="12" t="str">
        <f aca="false">IF(AND(C370&lt;&gt;"",D370&lt;&gt;""),C370*D370,"")</f>
        <v/>
      </c>
      <c r="F370" s="13"/>
    </row>
    <row r="371" customFormat="false" ht="15" hidden="false" customHeight="true" outlineLevel="0" collapsed="false">
      <c r="A371" s="11"/>
      <c r="B371" s="8"/>
      <c r="C371" s="8"/>
      <c r="D371" s="9"/>
      <c r="E371" s="12" t="str">
        <f aca="false">IF(AND(C371&lt;&gt;"",D371&lt;&gt;""),C371*D371,"")</f>
        <v/>
      </c>
      <c r="F371" s="13"/>
    </row>
    <row r="372" customFormat="false" ht="15" hidden="false" customHeight="true" outlineLevel="0" collapsed="false">
      <c r="A372" s="11"/>
      <c r="B372" s="8"/>
      <c r="C372" s="8"/>
      <c r="D372" s="9"/>
      <c r="E372" s="12" t="str">
        <f aca="false">IF(AND(C372&lt;&gt;"",D372&lt;&gt;""),C372*D372,"")</f>
        <v/>
      </c>
      <c r="F372" s="13"/>
    </row>
    <row r="373" customFormat="false" ht="15" hidden="false" customHeight="true" outlineLevel="0" collapsed="false">
      <c r="A373" s="11"/>
      <c r="B373" s="8"/>
      <c r="C373" s="8"/>
      <c r="D373" s="9"/>
      <c r="E373" s="12" t="str">
        <f aca="false">IF(AND(C373&lt;&gt;"",D373&lt;&gt;""),C373*D373,"")</f>
        <v/>
      </c>
      <c r="F373" s="13"/>
    </row>
    <row r="374" customFormat="false" ht="15" hidden="false" customHeight="true" outlineLevel="0" collapsed="false">
      <c r="A374" s="11"/>
      <c r="B374" s="8"/>
      <c r="C374" s="8"/>
      <c r="D374" s="9"/>
      <c r="E374" s="12" t="str">
        <f aca="false">IF(AND(C374&lt;&gt;"",D374&lt;&gt;""),C374*D374,"")</f>
        <v/>
      </c>
      <c r="F374" s="13"/>
    </row>
    <row r="375" customFormat="false" ht="15" hidden="false" customHeight="true" outlineLevel="0" collapsed="false">
      <c r="A375" s="11"/>
      <c r="B375" s="8"/>
      <c r="C375" s="8"/>
      <c r="D375" s="9"/>
      <c r="E375" s="12" t="str">
        <f aca="false">IF(AND(C375&lt;&gt;"",D375&lt;&gt;""),C375*D375,"")</f>
        <v/>
      </c>
      <c r="F375" s="13"/>
    </row>
    <row r="376" customFormat="false" ht="15" hidden="false" customHeight="true" outlineLevel="0" collapsed="false">
      <c r="A376" s="11"/>
      <c r="B376" s="8"/>
      <c r="C376" s="8"/>
      <c r="D376" s="9"/>
      <c r="E376" s="12" t="str">
        <f aca="false">IF(AND(C376&lt;&gt;"",D376&lt;&gt;""),C376*D376,"")</f>
        <v/>
      </c>
      <c r="F376" s="13"/>
    </row>
    <row r="377" customFormat="false" ht="15" hidden="false" customHeight="true" outlineLevel="0" collapsed="false">
      <c r="A377" s="11"/>
      <c r="B377" s="8"/>
      <c r="C377" s="8"/>
      <c r="D377" s="9"/>
      <c r="E377" s="12" t="str">
        <f aca="false">IF(AND(C377&lt;&gt;"",D377&lt;&gt;""),C377*D377,"")</f>
        <v/>
      </c>
      <c r="F377" s="13"/>
    </row>
    <row r="378" customFormat="false" ht="15" hidden="false" customHeight="true" outlineLevel="0" collapsed="false">
      <c r="A378" s="11"/>
      <c r="B378" s="8"/>
      <c r="C378" s="8"/>
      <c r="D378" s="9"/>
      <c r="E378" s="12" t="str">
        <f aca="false">IF(AND(C378&lt;&gt;"",D378&lt;&gt;""),C378*D378,"")</f>
        <v/>
      </c>
      <c r="F378" s="13"/>
    </row>
    <row r="379" customFormat="false" ht="15" hidden="false" customHeight="true" outlineLevel="0" collapsed="false">
      <c r="A379" s="11"/>
      <c r="B379" s="8"/>
      <c r="C379" s="8"/>
      <c r="D379" s="9"/>
      <c r="E379" s="12" t="str">
        <f aca="false">IF(AND(C379&lt;&gt;"",D379&lt;&gt;""),C379*D379,"")</f>
        <v/>
      </c>
      <c r="F379" s="13"/>
    </row>
    <row r="380" customFormat="false" ht="15" hidden="false" customHeight="true" outlineLevel="0" collapsed="false">
      <c r="A380" s="11"/>
      <c r="B380" s="8"/>
      <c r="C380" s="8"/>
      <c r="D380" s="9"/>
      <c r="E380" s="12" t="str">
        <f aca="false">IF(AND(C380&lt;&gt;"",D380&lt;&gt;""),C380*D380,"")</f>
        <v/>
      </c>
      <c r="F380" s="13"/>
    </row>
    <row r="381" customFormat="false" ht="15" hidden="false" customHeight="true" outlineLevel="0" collapsed="false">
      <c r="A381" s="11"/>
      <c r="B381" s="8"/>
      <c r="C381" s="8"/>
      <c r="D381" s="9"/>
      <c r="E381" s="12" t="str">
        <f aca="false">IF(AND(C381&lt;&gt;"",D381&lt;&gt;""),C381*D381,"")</f>
        <v/>
      </c>
      <c r="F381" s="13"/>
    </row>
    <row r="382" customFormat="false" ht="15" hidden="false" customHeight="true" outlineLevel="0" collapsed="false">
      <c r="A382" s="11"/>
      <c r="B382" s="8"/>
      <c r="C382" s="8"/>
      <c r="D382" s="9"/>
      <c r="E382" s="12" t="str">
        <f aca="false">IF(AND(C382&lt;&gt;"",D382&lt;&gt;""),C382*D382,"")</f>
        <v/>
      </c>
      <c r="F382" s="13"/>
    </row>
    <row r="383" customFormat="false" ht="15" hidden="false" customHeight="true" outlineLevel="0" collapsed="false">
      <c r="A383" s="11"/>
      <c r="B383" s="8"/>
      <c r="C383" s="8"/>
      <c r="D383" s="9"/>
      <c r="E383" s="12" t="str">
        <f aca="false">IF(AND(C383&lt;&gt;"",D383&lt;&gt;""),C383*D383,"")</f>
        <v/>
      </c>
      <c r="F383" s="13"/>
    </row>
    <row r="384" customFormat="false" ht="15" hidden="false" customHeight="true" outlineLevel="0" collapsed="false">
      <c r="A384" s="11"/>
      <c r="B384" s="8"/>
      <c r="C384" s="8"/>
      <c r="D384" s="9"/>
      <c r="E384" s="12" t="str">
        <f aca="false">IF(AND(C384&lt;&gt;"",D384&lt;&gt;""),C384*D384,"")</f>
        <v/>
      </c>
      <c r="F384" s="13"/>
    </row>
    <row r="385" customFormat="false" ht="15" hidden="false" customHeight="true" outlineLevel="0" collapsed="false">
      <c r="A385" s="11"/>
      <c r="B385" s="8"/>
      <c r="C385" s="8"/>
      <c r="D385" s="9"/>
      <c r="E385" s="12" t="str">
        <f aca="false">IF(AND(C385&lt;&gt;"",D385&lt;&gt;""),C385*D385,"")</f>
        <v/>
      </c>
      <c r="F385" s="13"/>
    </row>
    <row r="386" customFormat="false" ht="15" hidden="false" customHeight="true" outlineLevel="0" collapsed="false">
      <c r="A386" s="11"/>
      <c r="B386" s="8"/>
      <c r="C386" s="8"/>
      <c r="D386" s="9"/>
      <c r="E386" s="12" t="str">
        <f aca="false">IF(AND(C386&lt;&gt;"",D386&lt;&gt;""),C386*D386,"")</f>
        <v/>
      </c>
      <c r="F386" s="13"/>
    </row>
    <row r="387" customFormat="false" ht="15" hidden="false" customHeight="true" outlineLevel="0" collapsed="false">
      <c r="A387" s="11"/>
      <c r="B387" s="8"/>
      <c r="C387" s="8"/>
      <c r="D387" s="9"/>
      <c r="E387" s="12" t="str">
        <f aca="false">IF(AND(C387&lt;&gt;"",D387&lt;&gt;""),C387*D387,"")</f>
        <v/>
      </c>
      <c r="F387" s="13"/>
    </row>
    <row r="388" customFormat="false" ht="15" hidden="false" customHeight="true" outlineLevel="0" collapsed="false">
      <c r="A388" s="11"/>
      <c r="B388" s="8"/>
      <c r="C388" s="8"/>
      <c r="D388" s="9"/>
      <c r="E388" s="12" t="str">
        <f aca="false">IF(AND(C388&lt;&gt;"",D388&lt;&gt;""),C388*D388,"")</f>
        <v/>
      </c>
      <c r="F388" s="13"/>
    </row>
    <row r="389" customFormat="false" ht="15" hidden="false" customHeight="true" outlineLevel="0" collapsed="false">
      <c r="A389" s="11"/>
      <c r="B389" s="8"/>
      <c r="C389" s="8"/>
      <c r="D389" s="9"/>
      <c r="E389" s="12" t="str">
        <f aca="false">IF(AND(C389&lt;&gt;"",D389&lt;&gt;""),C389*D389,"")</f>
        <v/>
      </c>
      <c r="F389" s="13"/>
    </row>
    <row r="390" customFormat="false" ht="15" hidden="false" customHeight="true" outlineLevel="0" collapsed="false">
      <c r="A390" s="11"/>
      <c r="B390" s="8"/>
      <c r="C390" s="8"/>
      <c r="D390" s="9"/>
      <c r="E390" s="12" t="str">
        <f aca="false">IF(AND(C390&lt;&gt;"",D390&lt;&gt;""),C390*D390,"")</f>
        <v/>
      </c>
      <c r="F390" s="13"/>
    </row>
    <row r="391" customFormat="false" ht="15" hidden="false" customHeight="true" outlineLevel="0" collapsed="false">
      <c r="A391" s="11"/>
      <c r="B391" s="8"/>
      <c r="C391" s="8"/>
      <c r="D391" s="9"/>
      <c r="E391" s="12" t="str">
        <f aca="false">IF(AND(C391&lt;&gt;"",D391&lt;&gt;""),C391*D391,"")</f>
        <v/>
      </c>
      <c r="F391" s="13"/>
    </row>
    <row r="392" customFormat="false" ht="15" hidden="false" customHeight="true" outlineLevel="0" collapsed="false">
      <c r="A392" s="11"/>
      <c r="B392" s="8"/>
      <c r="C392" s="8"/>
      <c r="D392" s="9"/>
      <c r="E392" s="12" t="str">
        <f aca="false">IF(AND(C392&lt;&gt;"",D392&lt;&gt;""),C392*D392,"")</f>
        <v/>
      </c>
      <c r="F392" s="13"/>
    </row>
    <row r="393" customFormat="false" ht="15" hidden="false" customHeight="true" outlineLevel="0" collapsed="false">
      <c r="A393" s="11"/>
      <c r="B393" s="8"/>
      <c r="C393" s="8"/>
      <c r="D393" s="9"/>
      <c r="E393" s="12" t="str">
        <f aca="false">IF(AND(C393&lt;&gt;"",D393&lt;&gt;""),C393*D393,"")</f>
        <v/>
      </c>
      <c r="F393" s="13"/>
    </row>
    <row r="394" customFormat="false" ht="15" hidden="false" customHeight="true" outlineLevel="0" collapsed="false">
      <c r="A394" s="11"/>
      <c r="B394" s="8"/>
      <c r="C394" s="8"/>
      <c r="D394" s="9"/>
      <c r="E394" s="12" t="str">
        <f aca="false">IF(AND(C394&lt;&gt;"",D394&lt;&gt;""),C394*D394,"")</f>
        <v/>
      </c>
      <c r="F394" s="13"/>
    </row>
    <row r="395" customFormat="false" ht="15" hidden="false" customHeight="true" outlineLevel="0" collapsed="false">
      <c r="A395" s="11"/>
      <c r="B395" s="8"/>
      <c r="C395" s="8"/>
      <c r="D395" s="9"/>
      <c r="E395" s="12" t="str">
        <f aca="false">IF(AND(C395&lt;&gt;"",D395&lt;&gt;""),C395*D395,"")</f>
        <v/>
      </c>
      <c r="F395" s="13"/>
    </row>
    <row r="396" customFormat="false" ht="15" hidden="false" customHeight="true" outlineLevel="0" collapsed="false">
      <c r="A396" s="11"/>
      <c r="B396" s="8"/>
      <c r="C396" s="8"/>
      <c r="D396" s="9"/>
      <c r="E396" s="12" t="str">
        <f aca="false">IF(AND(C396&lt;&gt;"",D396&lt;&gt;""),C396*D396,"")</f>
        <v/>
      </c>
      <c r="F396" s="13"/>
    </row>
    <row r="397" customFormat="false" ht="15" hidden="false" customHeight="true" outlineLevel="0" collapsed="false">
      <c r="A397" s="11"/>
      <c r="B397" s="8"/>
      <c r="C397" s="8"/>
      <c r="D397" s="9"/>
      <c r="E397" s="12" t="str">
        <f aca="false">IF(AND(C397&lt;&gt;"",D397&lt;&gt;""),C397*D397,"")</f>
        <v/>
      </c>
      <c r="F397" s="13"/>
    </row>
    <row r="398" customFormat="false" ht="15" hidden="false" customHeight="true" outlineLevel="0" collapsed="false">
      <c r="A398" s="11"/>
      <c r="B398" s="8"/>
      <c r="C398" s="8"/>
      <c r="D398" s="9"/>
      <c r="E398" s="12" t="str">
        <f aca="false">IF(AND(C398&lt;&gt;"",D398&lt;&gt;""),C398*D398,"")</f>
        <v/>
      </c>
      <c r="F398" s="13"/>
    </row>
    <row r="399" customFormat="false" ht="15" hidden="false" customHeight="true" outlineLevel="0" collapsed="false">
      <c r="A399" s="11"/>
      <c r="B399" s="8"/>
      <c r="C399" s="8"/>
      <c r="D399" s="9"/>
      <c r="E399" s="12" t="str">
        <f aca="false">IF(AND(C399&lt;&gt;"",D399&lt;&gt;""),C399*D399,"")</f>
        <v/>
      </c>
      <c r="F399" s="13"/>
    </row>
    <row r="400" customFormat="false" ht="15" hidden="false" customHeight="true" outlineLevel="0" collapsed="false">
      <c r="A400" s="11"/>
      <c r="B400" s="8"/>
      <c r="C400" s="8"/>
      <c r="D400" s="9"/>
      <c r="E400" s="12" t="str">
        <f aca="false">IF(AND(C400&lt;&gt;"",D400&lt;&gt;""),C400*D400,"")</f>
        <v/>
      </c>
      <c r="F400" s="13"/>
    </row>
    <row r="401" customFormat="false" ht="15" hidden="false" customHeight="true" outlineLevel="0" collapsed="false">
      <c r="A401" s="11"/>
      <c r="B401" s="8"/>
      <c r="C401" s="8"/>
      <c r="D401" s="9"/>
      <c r="E401" s="12" t="str">
        <f aca="false">IF(AND(C401&lt;&gt;"",D401&lt;&gt;""),C401*D401,"")</f>
        <v/>
      </c>
      <c r="F401" s="13"/>
    </row>
    <row r="402" customFormat="false" ht="15" hidden="false" customHeight="true" outlineLevel="0" collapsed="false">
      <c r="A402" s="11"/>
      <c r="B402" s="8"/>
      <c r="C402" s="8"/>
      <c r="D402" s="9"/>
      <c r="E402" s="12" t="str">
        <f aca="false">IF(AND(C402&lt;&gt;"",D402&lt;&gt;""),C402*D402,"")</f>
        <v/>
      </c>
      <c r="F402" s="13"/>
    </row>
    <row r="403" customFormat="false" ht="15" hidden="false" customHeight="true" outlineLevel="0" collapsed="false">
      <c r="A403" s="11"/>
      <c r="B403" s="8"/>
      <c r="C403" s="8"/>
      <c r="D403" s="9"/>
      <c r="E403" s="12" t="str">
        <f aca="false">IF(AND(C403&lt;&gt;"",D403&lt;&gt;""),C403*D403,"")</f>
        <v/>
      </c>
      <c r="F403" s="13"/>
    </row>
    <row r="404" customFormat="false" ht="15" hidden="false" customHeight="true" outlineLevel="0" collapsed="false">
      <c r="A404" s="11"/>
      <c r="B404" s="8"/>
      <c r="C404" s="8"/>
      <c r="D404" s="9"/>
      <c r="E404" s="12" t="str">
        <f aca="false">IF(AND(C404&lt;&gt;"",D404&lt;&gt;""),C404*D404,"")</f>
        <v/>
      </c>
      <c r="F404" s="13"/>
    </row>
    <row r="405" customFormat="false" ht="15" hidden="false" customHeight="true" outlineLevel="0" collapsed="false">
      <c r="A405" s="11"/>
      <c r="B405" s="8"/>
      <c r="C405" s="8"/>
      <c r="D405" s="9"/>
      <c r="E405" s="12" t="str">
        <f aca="false">IF(AND(C405&lt;&gt;"",D405&lt;&gt;""),C405*D405,"")</f>
        <v/>
      </c>
      <c r="F405" s="13"/>
    </row>
    <row r="406" customFormat="false" ht="15" hidden="false" customHeight="true" outlineLevel="0" collapsed="false">
      <c r="A406" s="11"/>
      <c r="B406" s="8"/>
      <c r="C406" s="8"/>
      <c r="D406" s="9"/>
      <c r="E406" s="12" t="str">
        <f aca="false">IF(AND(C406&lt;&gt;"",D406&lt;&gt;""),C406*D406,"")</f>
        <v/>
      </c>
      <c r="F406" s="13"/>
    </row>
    <row r="407" customFormat="false" ht="15" hidden="false" customHeight="true" outlineLevel="0" collapsed="false">
      <c r="A407" s="11"/>
      <c r="B407" s="8"/>
      <c r="C407" s="8"/>
      <c r="D407" s="9"/>
      <c r="E407" s="12" t="str">
        <f aca="false">IF(AND(C407&lt;&gt;"",D407&lt;&gt;""),C407*D407,"")</f>
        <v/>
      </c>
      <c r="F407" s="13"/>
    </row>
    <row r="408" customFormat="false" ht="15" hidden="false" customHeight="true" outlineLevel="0" collapsed="false">
      <c r="A408" s="11"/>
      <c r="B408" s="8"/>
      <c r="C408" s="8"/>
      <c r="D408" s="9"/>
      <c r="E408" s="12" t="str">
        <f aca="false">IF(AND(C408&lt;&gt;"",D408&lt;&gt;""),C408*D408,"")</f>
        <v/>
      </c>
      <c r="F408" s="13"/>
    </row>
    <row r="409" customFormat="false" ht="15" hidden="false" customHeight="true" outlineLevel="0" collapsed="false">
      <c r="A409" s="11"/>
      <c r="B409" s="8"/>
      <c r="C409" s="8"/>
      <c r="D409" s="9"/>
      <c r="E409" s="12" t="str">
        <f aca="false">IF(AND(C409&lt;&gt;"",D409&lt;&gt;""),C409*D409,"")</f>
        <v/>
      </c>
      <c r="F409" s="13"/>
    </row>
    <row r="410" customFormat="false" ht="15" hidden="false" customHeight="true" outlineLevel="0" collapsed="false">
      <c r="A410" s="11"/>
      <c r="B410" s="8"/>
      <c r="C410" s="8"/>
      <c r="D410" s="9"/>
      <c r="E410" s="12" t="str">
        <f aca="false">IF(AND(C410&lt;&gt;"",D410&lt;&gt;""),C410*D410,"")</f>
        <v/>
      </c>
      <c r="F410" s="13"/>
    </row>
    <row r="411" customFormat="false" ht="15" hidden="false" customHeight="true" outlineLevel="0" collapsed="false">
      <c r="A411" s="11"/>
      <c r="B411" s="8"/>
      <c r="C411" s="8"/>
      <c r="D411" s="9"/>
      <c r="E411" s="12" t="str">
        <f aca="false">IF(AND(C411&lt;&gt;"",D411&lt;&gt;""),C411*D411,"")</f>
        <v/>
      </c>
      <c r="F411" s="13"/>
    </row>
    <row r="412" customFormat="false" ht="15" hidden="false" customHeight="true" outlineLevel="0" collapsed="false">
      <c r="A412" s="11"/>
      <c r="B412" s="8"/>
      <c r="C412" s="8"/>
      <c r="D412" s="9"/>
      <c r="E412" s="12" t="str">
        <f aca="false">IF(AND(C412&lt;&gt;"",D412&lt;&gt;""),C412*D412,"")</f>
        <v/>
      </c>
      <c r="F412" s="13"/>
    </row>
    <row r="413" customFormat="false" ht="15" hidden="false" customHeight="true" outlineLevel="0" collapsed="false">
      <c r="A413" s="11"/>
      <c r="B413" s="8"/>
      <c r="C413" s="8"/>
      <c r="D413" s="9"/>
      <c r="E413" s="12" t="str">
        <f aca="false">IF(AND(C413&lt;&gt;"",D413&lt;&gt;""),C413*D413,"")</f>
        <v/>
      </c>
      <c r="F413" s="13"/>
    </row>
    <row r="414" customFormat="false" ht="15" hidden="false" customHeight="true" outlineLevel="0" collapsed="false">
      <c r="A414" s="11"/>
      <c r="B414" s="8"/>
      <c r="C414" s="8"/>
      <c r="D414" s="9"/>
      <c r="E414" s="12" t="str">
        <f aca="false">IF(AND(C414&lt;&gt;"",D414&lt;&gt;""),C414*D414,"")</f>
        <v/>
      </c>
      <c r="F414" s="13"/>
    </row>
    <row r="415" customFormat="false" ht="15" hidden="false" customHeight="true" outlineLevel="0" collapsed="false">
      <c r="A415" s="11"/>
      <c r="B415" s="8"/>
      <c r="C415" s="8"/>
      <c r="D415" s="9"/>
      <c r="E415" s="12" t="str">
        <f aca="false">IF(AND(C415&lt;&gt;"",D415&lt;&gt;""),C415*D415,"")</f>
        <v/>
      </c>
      <c r="F415" s="13"/>
    </row>
    <row r="416" customFormat="false" ht="15" hidden="false" customHeight="true" outlineLevel="0" collapsed="false">
      <c r="A416" s="11"/>
      <c r="B416" s="8"/>
      <c r="C416" s="8"/>
      <c r="D416" s="9"/>
      <c r="E416" s="12" t="str">
        <f aca="false">IF(AND(C416&lt;&gt;"",D416&lt;&gt;""),C416*D416,"")</f>
        <v/>
      </c>
      <c r="F416" s="13"/>
    </row>
    <row r="417" customFormat="false" ht="15" hidden="false" customHeight="true" outlineLevel="0" collapsed="false">
      <c r="A417" s="11"/>
      <c r="B417" s="8"/>
      <c r="C417" s="8"/>
      <c r="D417" s="9"/>
      <c r="E417" s="12" t="str">
        <f aca="false">IF(AND(C417&lt;&gt;"",D417&lt;&gt;""),C417*D417,"")</f>
        <v/>
      </c>
      <c r="F417" s="13"/>
    </row>
    <row r="418" customFormat="false" ht="15" hidden="false" customHeight="true" outlineLevel="0" collapsed="false">
      <c r="A418" s="11"/>
      <c r="B418" s="8"/>
      <c r="C418" s="8"/>
      <c r="D418" s="9"/>
      <c r="E418" s="12" t="str">
        <f aca="false">IF(AND(C418&lt;&gt;"",D418&lt;&gt;""),C418*D418,"")</f>
        <v/>
      </c>
      <c r="F418" s="13"/>
    </row>
    <row r="419" customFormat="false" ht="15" hidden="false" customHeight="true" outlineLevel="0" collapsed="false">
      <c r="A419" s="11"/>
      <c r="B419" s="8"/>
      <c r="C419" s="8"/>
      <c r="D419" s="9"/>
      <c r="E419" s="12" t="str">
        <f aca="false">IF(AND(C419&lt;&gt;"",D419&lt;&gt;""),C419*D419,"")</f>
        <v/>
      </c>
      <c r="F419" s="13"/>
    </row>
    <row r="420" customFormat="false" ht="15" hidden="false" customHeight="true" outlineLevel="0" collapsed="false">
      <c r="A420" s="11"/>
      <c r="B420" s="8"/>
      <c r="C420" s="8"/>
      <c r="D420" s="9"/>
      <c r="E420" s="12" t="str">
        <f aca="false">IF(AND(C420&lt;&gt;"",D420&lt;&gt;""),C420*D420,"")</f>
        <v/>
      </c>
      <c r="F420" s="13"/>
    </row>
    <row r="421" customFormat="false" ht="15" hidden="false" customHeight="true" outlineLevel="0" collapsed="false">
      <c r="A421" s="11"/>
      <c r="B421" s="8"/>
      <c r="C421" s="8"/>
      <c r="D421" s="9"/>
      <c r="E421" s="12" t="str">
        <f aca="false">IF(AND(C421&lt;&gt;"",D421&lt;&gt;""),C421*D421,"")</f>
        <v/>
      </c>
      <c r="F421" s="13"/>
    </row>
    <row r="422" customFormat="false" ht="15" hidden="false" customHeight="true" outlineLevel="0" collapsed="false">
      <c r="A422" s="11"/>
      <c r="B422" s="8"/>
      <c r="C422" s="8"/>
      <c r="D422" s="9"/>
      <c r="E422" s="12" t="str">
        <f aca="false">IF(AND(C422&lt;&gt;"",D422&lt;&gt;""),C422*D422,"")</f>
        <v/>
      </c>
      <c r="F422" s="13"/>
    </row>
    <row r="423" customFormat="false" ht="15" hidden="false" customHeight="true" outlineLevel="0" collapsed="false">
      <c r="A423" s="11"/>
      <c r="B423" s="8"/>
      <c r="C423" s="8"/>
      <c r="D423" s="9"/>
      <c r="E423" s="12" t="str">
        <f aca="false">IF(AND(C423&lt;&gt;"",D423&lt;&gt;""),C423*D423,"")</f>
        <v/>
      </c>
      <c r="F423" s="13"/>
    </row>
    <row r="424" customFormat="false" ht="15" hidden="false" customHeight="true" outlineLevel="0" collapsed="false">
      <c r="A424" s="11"/>
      <c r="B424" s="8"/>
      <c r="C424" s="8"/>
      <c r="D424" s="9"/>
      <c r="E424" s="12" t="str">
        <f aca="false">IF(AND(C424&lt;&gt;"",D424&lt;&gt;""),C424*D424,"")</f>
        <v/>
      </c>
      <c r="F424" s="13"/>
    </row>
    <row r="425" customFormat="false" ht="15" hidden="false" customHeight="true" outlineLevel="0" collapsed="false">
      <c r="A425" s="11"/>
      <c r="B425" s="8"/>
      <c r="C425" s="8"/>
      <c r="D425" s="9"/>
      <c r="E425" s="12" t="str">
        <f aca="false">IF(AND(C425&lt;&gt;"",D425&lt;&gt;""),C425*D425,"")</f>
        <v/>
      </c>
      <c r="F425" s="13"/>
    </row>
    <row r="426" customFormat="false" ht="15" hidden="false" customHeight="true" outlineLevel="0" collapsed="false">
      <c r="A426" s="11"/>
      <c r="B426" s="8"/>
      <c r="C426" s="8"/>
      <c r="D426" s="9"/>
      <c r="E426" s="12" t="str">
        <f aca="false">IF(AND(C426&lt;&gt;"",D426&lt;&gt;""),C426*D426,"")</f>
        <v/>
      </c>
      <c r="F426" s="13"/>
    </row>
    <row r="427" customFormat="false" ht="15" hidden="false" customHeight="true" outlineLevel="0" collapsed="false">
      <c r="A427" s="11"/>
      <c r="B427" s="8"/>
      <c r="C427" s="8"/>
      <c r="D427" s="9"/>
      <c r="E427" s="12" t="str">
        <f aca="false">IF(AND(C427&lt;&gt;"",D427&lt;&gt;""),C427*D427,"")</f>
        <v/>
      </c>
      <c r="F427" s="13"/>
    </row>
    <row r="428" customFormat="false" ht="15" hidden="false" customHeight="true" outlineLevel="0" collapsed="false">
      <c r="A428" s="11"/>
      <c r="B428" s="8"/>
      <c r="C428" s="8"/>
      <c r="D428" s="9"/>
      <c r="E428" s="12" t="str">
        <f aca="false">IF(AND(C428&lt;&gt;"",D428&lt;&gt;""),C428*D428,"")</f>
        <v/>
      </c>
      <c r="F428" s="13"/>
    </row>
    <row r="429" customFormat="false" ht="15" hidden="false" customHeight="true" outlineLevel="0" collapsed="false">
      <c r="A429" s="11"/>
      <c r="B429" s="8"/>
      <c r="C429" s="8"/>
      <c r="D429" s="9"/>
      <c r="E429" s="12" t="str">
        <f aca="false">IF(AND(C429&lt;&gt;"",D429&lt;&gt;""),C429*D429,"")</f>
        <v/>
      </c>
      <c r="F429" s="13"/>
    </row>
    <row r="430" customFormat="false" ht="15" hidden="false" customHeight="true" outlineLevel="0" collapsed="false">
      <c r="A430" s="11"/>
      <c r="B430" s="8"/>
      <c r="C430" s="8"/>
      <c r="D430" s="9"/>
      <c r="E430" s="12" t="str">
        <f aca="false">IF(AND(C430&lt;&gt;"",D430&lt;&gt;""),C430*D430,"")</f>
        <v/>
      </c>
      <c r="F430" s="13"/>
    </row>
    <row r="431" customFormat="false" ht="15" hidden="false" customHeight="true" outlineLevel="0" collapsed="false">
      <c r="A431" s="11"/>
      <c r="B431" s="8"/>
      <c r="C431" s="8"/>
      <c r="D431" s="9"/>
      <c r="E431" s="12" t="str">
        <f aca="false">IF(AND(C431&lt;&gt;"",D431&lt;&gt;""),C431*D431,"")</f>
        <v/>
      </c>
      <c r="F431" s="13"/>
    </row>
    <row r="432" customFormat="false" ht="15" hidden="false" customHeight="true" outlineLevel="0" collapsed="false">
      <c r="A432" s="11"/>
      <c r="B432" s="8"/>
      <c r="C432" s="8"/>
      <c r="D432" s="9"/>
      <c r="E432" s="12" t="str">
        <f aca="false">IF(AND(C432&lt;&gt;"",D432&lt;&gt;""),C432*D432,"")</f>
        <v/>
      </c>
      <c r="F432" s="13"/>
    </row>
    <row r="433" customFormat="false" ht="15" hidden="false" customHeight="true" outlineLevel="0" collapsed="false">
      <c r="A433" s="11"/>
      <c r="B433" s="8"/>
      <c r="C433" s="8"/>
      <c r="D433" s="9"/>
      <c r="E433" s="12" t="str">
        <f aca="false">IF(AND(C433&lt;&gt;"",D433&lt;&gt;""),C433*D433,"")</f>
        <v/>
      </c>
      <c r="F433" s="13"/>
    </row>
    <row r="434" customFormat="false" ht="15" hidden="false" customHeight="true" outlineLevel="0" collapsed="false">
      <c r="A434" s="11"/>
      <c r="B434" s="8"/>
      <c r="C434" s="8"/>
      <c r="D434" s="9"/>
      <c r="E434" s="12" t="str">
        <f aca="false">IF(AND(C434&lt;&gt;"",D434&lt;&gt;""),C434*D434,"")</f>
        <v/>
      </c>
      <c r="F434" s="13"/>
    </row>
    <row r="435" customFormat="false" ht="15" hidden="false" customHeight="true" outlineLevel="0" collapsed="false">
      <c r="A435" s="11"/>
      <c r="B435" s="8"/>
      <c r="C435" s="8"/>
      <c r="D435" s="9"/>
      <c r="E435" s="12" t="str">
        <f aca="false">IF(AND(C435&lt;&gt;"",D435&lt;&gt;""),C435*D435,"")</f>
        <v/>
      </c>
      <c r="F435" s="13"/>
    </row>
    <row r="436" customFormat="false" ht="15" hidden="false" customHeight="true" outlineLevel="0" collapsed="false">
      <c r="A436" s="11"/>
      <c r="B436" s="8"/>
      <c r="C436" s="8"/>
      <c r="D436" s="9"/>
      <c r="E436" s="12" t="str">
        <f aca="false">IF(AND(C436&lt;&gt;"",D436&lt;&gt;""),C436*D436,"")</f>
        <v/>
      </c>
      <c r="F436" s="13"/>
    </row>
    <row r="437" customFormat="false" ht="15" hidden="false" customHeight="true" outlineLevel="0" collapsed="false">
      <c r="A437" s="11"/>
      <c r="B437" s="8"/>
      <c r="C437" s="8"/>
      <c r="D437" s="9"/>
      <c r="E437" s="12" t="str">
        <f aca="false">IF(AND(C437&lt;&gt;"",D437&lt;&gt;""),C437*D437,"")</f>
        <v/>
      </c>
      <c r="F437" s="13"/>
    </row>
    <row r="438" customFormat="false" ht="15" hidden="false" customHeight="true" outlineLevel="0" collapsed="false">
      <c r="A438" s="11"/>
      <c r="B438" s="8"/>
      <c r="C438" s="8"/>
      <c r="D438" s="9"/>
      <c r="E438" s="12" t="str">
        <f aca="false">IF(AND(C438&lt;&gt;"",D438&lt;&gt;""),C438*D438,"")</f>
        <v/>
      </c>
      <c r="F438" s="13"/>
    </row>
    <row r="439" customFormat="false" ht="15" hidden="false" customHeight="true" outlineLevel="0" collapsed="false">
      <c r="A439" s="11"/>
      <c r="B439" s="8"/>
      <c r="C439" s="8"/>
      <c r="D439" s="9"/>
      <c r="E439" s="12" t="str">
        <f aca="false">IF(AND(C439&lt;&gt;"",D439&lt;&gt;""),C439*D439,"")</f>
        <v/>
      </c>
      <c r="F439" s="13"/>
    </row>
    <row r="440" customFormat="false" ht="15" hidden="false" customHeight="true" outlineLevel="0" collapsed="false">
      <c r="A440" s="11"/>
      <c r="B440" s="8"/>
      <c r="C440" s="8"/>
      <c r="D440" s="9"/>
      <c r="E440" s="12" t="str">
        <f aca="false">IF(AND(C440&lt;&gt;"",D440&lt;&gt;""),C440*D440,"")</f>
        <v/>
      </c>
      <c r="F440" s="13"/>
    </row>
    <row r="441" customFormat="false" ht="15" hidden="false" customHeight="true" outlineLevel="0" collapsed="false">
      <c r="A441" s="11"/>
      <c r="B441" s="8"/>
      <c r="C441" s="8"/>
      <c r="D441" s="9"/>
      <c r="E441" s="12" t="str">
        <f aca="false">IF(AND(C441&lt;&gt;"",D441&lt;&gt;""),C441*D441,"")</f>
        <v/>
      </c>
      <c r="F441" s="13"/>
    </row>
    <row r="442" customFormat="false" ht="15" hidden="false" customHeight="true" outlineLevel="0" collapsed="false">
      <c r="A442" s="11"/>
      <c r="B442" s="8"/>
      <c r="C442" s="8"/>
      <c r="D442" s="9"/>
      <c r="E442" s="12" t="str">
        <f aca="false">IF(AND(C442&lt;&gt;"",D442&lt;&gt;""),C442*D442,"")</f>
        <v/>
      </c>
      <c r="F442" s="13"/>
    </row>
    <row r="443" customFormat="false" ht="15" hidden="false" customHeight="true" outlineLevel="0" collapsed="false">
      <c r="A443" s="11"/>
      <c r="B443" s="8"/>
      <c r="C443" s="8"/>
      <c r="D443" s="9"/>
      <c r="E443" s="12" t="str">
        <f aca="false">IF(AND(C443&lt;&gt;"",D443&lt;&gt;""),C443*D443,"")</f>
        <v/>
      </c>
      <c r="F443" s="13"/>
    </row>
    <row r="444" customFormat="false" ht="15" hidden="false" customHeight="true" outlineLevel="0" collapsed="false">
      <c r="A444" s="11"/>
      <c r="B444" s="8"/>
      <c r="C444" s="8"/>
      <c r="D444" s="9"/>
      <c r="E444" s="12" t="str">
        <f aca="false">IF(AND(C444&lt;&gt;"",D444&lt;&gt;""),C444*D444,"")</f>
        <v/>
      </c>
      <c r="F444" s="13"/>
    </row>
    <row r="445" customFormat="false" ht="15" hidden="false" customHeight="true" outlineLevel="0" collapsed="false">
      <c r="A445" s="11"/>
      <c r="B445" s="8"/>
      <c r="C445" s="8"/>
      <c r="D445" s="9"/>
      <c r="E445" s="12" t="str">
        <f aca="false">IF(AND(C445&lt;&gt;"",D445&lt;&gt;""),C445*D445,"")</f>
        <v/>
      </c>
      <c r="F445" s="13"/>
    </row>
    <row r="446" customFormat="false" ht="15" hidden="false" customHeight="true" outlineLevel="0" collapsed="false">
      <c r="A446" s="11"/>
      <c r="B446" s="8"/>
      <c r="C446" s="8"/>
      <c r="D446" s="9"/>
      <c r="E446" s="12" t="str">
        <f aca="false">IF(AND(C446&lt;&gt;"",D446&lt;&gt;""),C446*D446,"")</f>
        <v/>
      </c>
      <c r="F446" s="13"/>
    </row>
    <row r="447" customFormat="false" ht="15" hidden="false" customHeight="true" outlineLevel="0" collapsed="false">
      <c r="A447" s="11"/>
      <c r="B447" s="8"/>
      <c r="C447" s="8"/>
      <c r="D447" s="9"/>
      <c r="E447" s="12" t="str">
        <f aca="false">IF(AND(C447&lt;&gt;"",D447&lt;&gt;""),C447*D447,"")</f>
        <v/>
      </c>
      <c r="F447" s="13"/>
    </row>
    <row r="448" customFormat="false" ht="15" hidden="false" customHeight="true" outlineLevel="0" collapsed="false">
      <c r="A448" s="11"/>
      <c r="B448" s="8"/>
      <c r="C448" s="8"/>
      <c r="D448" s="9"/>
      <c r="E448" s="12" t="str">
        <f aca="false">IF(AND(C448&lt;&gt;"",D448&lt;&gt;""),C448*D448,"")</f>
        <v/>
      </c>
      <c r="F448" s="13"/>
    </row>
    <row r="449" customFormat="false" ht="15" hidden="false" customHeight="true" outlineLevel="0" collapsed="false">
      <c r="A449" s="11"/>
      <c r="B449" s="8"/>
      <c r="C449" s="8"/>
      <c r="D449" s="9"/>
      <c r="E449" s="12" t="str">
        <f aca="false">IF(AND(C449&lt;&gt;"",D449&lt;&gt;""),C449*D449,"")</f>
        <v/>
      </c>
      <c r="F449" s="13"/>
    </row>
    <row r="450" customFormat="false" ht="15" hidden="false" customHeight="true" outlineLevel="0" collapsed="false">
      <c r="A450" s="11"/>
      <c r="B450" s="8"/>
      <c r="C450" s="8"/>
      <c r="D450" s="9"/>
      <c r="E450" s="12" t="str">
        <f aca="false">IF(AND(C450&lt;&gt;"",D450&lt;&gt;""),C450*D450,"")</f>
        <v/>
      </c>
      <c r="F450" s="13"/>
    </row>
    <row r="451" customFormat="false" ht="15" hidden="false" customHeight="true" outlineLevel="0" collapsed="false">
      <c r="A451" s="11"/>
      <c r="B451" s="8"/>
      <c r="C451" s="8"/>
      <c r="D451" s="9"/>
      <c r="E451" s="12" t="str">
        <f aca="false">IF(AND(C451&lt;&gt;"",D451&lt;&gt;""),C451*D451,"")</f>
        <v/>
      </c>
      <c r="F451" s="13"/>
    </row>
    <row r="452" customFormat="false" ht="15" hidden="false" customHeight="true" outlineLevel="0" collapsed="false">
      <c r="A452" s="11"/>
      <c r="B452" s="8"/>
      <c r="C452" s="8"/>
      <c r="D452" s="9"/>
      <c r="E452" s="12" t="str">
        <f aca="false">IF(AND(C452&lt;&gt;"",D452&lt;&gt;""),C452*D452,"")</f>
        <v/>
      </c>
      <c r="F452" s="13"/>
    </row>
    <row r="453" customFormat="false" ht="15" hidden="false" customHeight="true" outlineLevel="0" collapsed="false">
      <c r="A453" s="11"/>
      <c r="B453" s="8"/>
      <c r="C453" s="8"/>
      <c r="D453" s="9"/>
      <c r="E453" s="12" t="str">
        <f aca="false">IF(AND(C453&lt;&gt;"",D453&lt;&gt;""),C453*D453,"")</f>
        <v/>
      </c>
      <c r="F453" s="13"/>
    </row>
    <row r="454" customFormat="false" ht="15" hidden="false" customHeight="true" outlineLevel="0" collapsed="false">
      <c r="A454" s="11"/>
      <c r="B454" s="8"/>
      <c r="C454" s="8"/>
      <c r="D454" s="9"/>
      <c r="E454" s="12" t="str">
        <f aca="false">IF(AND(C454&lt;&gt;"",D454&lt;&gt;""),C454*D454,"")</f>
        <v/>
      </c>
      <c r="F454" s="13"/>
    </row>
    <row r="455" customFormat="false" ht="15" hidden="false" customHeight="true" outlineLevel="0" collapsed="false">
      <c r="A455" s="11"/>
      <c r="B455" s="8"/>
      <c r="C455" s="8"/>
      <c r="D455" s="9"/>
      <c r="E455" s="12" t="str">
        <f aca="false">IF(AND(C455&lt;&gt;"",D455&lt;&gt;""),C455*D455,"")</f>
        <v/>
      </c>
      <c r="F455" s="13"/>
    </row>
    <row r="456" customFormat="false" ht="15" hidden="false" customHeight="true" outlineLevel="0" collapsed="false">
      <c r="A456" s="11"/>
      <c r="B456" s="8"/>
      <c r="C456" s="8"/>
      <c r="D456" s="9"/>
      <c r="E456" s="12" t="str">
        <f aca="false">IF(AND(C456&lt;&gt;"",D456&lt;&gt;""),C456*D456,"")</f>
        <v/>
      </c>
      <c r="F456" s="13"/>
    </row>
    <row r="457" customFormat="false" ht="15" hidden="false" customHeight="true" outlineLevel="0" collapsed="false">
      <c r="A457" s="11"/>
      <c r="B457" s="8"/>
      <c r="C457" s="8"/>
      <c r="D457" s="9"/>
      <c r="E457" s="12" t="str">
        <f aca="false">IF(AND(C457&lt;&gt;"",D457&lt;&gt;""),C457*D457,"")</f>
        <v/>
      </c>
      <c r="F457" s="13"/>
    </row>
    <row r="458" customFormat="false" ht="15" hidden="false" customHeight="true" outlineLevel="0" collapsed="false">
      <c r="A458" s="11"/>
      <c r="B458" s="8"/>
      <c r="C458" s="8"/>
      <c r="D458" s="9"/>
      <c r="E458" s="12" t="str">
        <f aca="false">IF(AND(C458&lt;&gt;"",D458&lt;&gt;""),C458*D458,"")</f>
        <v/>
      </c>
      <c r="F458" s="13"/>
    </row>
    <row r="459" customFormat="false" ht="15" hidden="false" customHeight="true" outlineLevel="0" collapsed="false">
      <c r="A459" s="11"/>
      <c r="B459" s="8"/>
      <c r="C459" s="8"/>
      <c r="D459" s="9"/>
      <c r="E459" s="12" t="str">
        <f aca="false">IF(AND(C459&lt;&gt;"",D459&lt;&gt;""),C459*D459,"")</f>
        <v/>
      </c>
      <c r="F459" s="13"/>
    </row>
    <row r="460" customFormat="false" ht="15" hidden="false" customHeight="true" outlineLevel="0" collapsed="false">
      <c r="A460" s="11"/>
      <c r="B460" s="8"/>
      <c r="C460" s="8"/>
      <c r="D460" s="9"/>
      <c r="E460" s="12" t="str">
        <f aca="false">IF(AND(C460&lt;&gt;"",D460&lt;&gt;""),C460*D460,"")</f>
        <v/>
      </c>
      <c r="F460" s="13"/>
    </row>
    <row r="461" customFormat="false" ht="15" hidden="false" customHeight="true" outlineLevel="0" collapsed="false">
      <c r="A461" s="11"/>
      <c r="B461" s="8"/>
      <c r="C461" s="8"/>
      <c r="D461" s="9"/>
      <c r="E461" s="12" t="str">
        <f aca="false">IF(AND(C461&lt;&gt;"",D461&lt;&gt;""),C461*D461,"")</f>
        <v/>
      </c>
      <c r="F461" s="13"/>
    </row>
    <row r="462" customFormat="false" ht="15" hidden="false" customHeight="true" outlineLevel="0" collapsed="false">
      <c r="A462" s="11"/>
      <c r="B462" s="8"/>
      <c r="C462" s="8"/>
      <c r="D462" s="9"/>
      <c r="E462" s="12" t="str">
        <f aca="false">IF(AND(C462&lt;&gt;"",D462&lt;&gt;""),C462*D462,"")</f>
        <v/>
      </c>
      <c r="F462" s="13"/>
    </row>
    <row r="463" customFormat="false" ht="15" hidden="false" customHeight="true" outlineLevel="0" collapsed="false">
      <c r="A463" s="11"/>
      <c r="B463" s="8"/>
      <c r="C463" s="8"/>
      <c r="D463" s="9"/>
      <c r="E463" s="12" t="str">
        <f aca="false">IF(AND(C463&lt;&gt;"",D463&lt;&gt;""),C463*D463,"")</f>
        <v/>
      </c>
      <c r="F463" s="13"/>
    </row>
    <row r="464" customFormat="false" ht="15" hidden="false" customHeight="true" outlineLevel="0" collapsed="false">
      <c r="A464" s="11"/>
      <c r="B464" s="8"/>
      <c r="C464" s="8"/>
      <c r="D464" s="9"/>
      <c r="E464" s="12" t="str">
        <f aca="false">IF(AND(C464&lt;&gt;"",D464&lt;&gt;""),C464*D464,"")</f>
        <v/>
      </c>
      <c r="F464" s="13"/>
    </row>
    <row r="465" customFormat="false" ht="15" hidden="false" customHeight="true" outlineLevel="0" collapsed="false">
      <c r="A465" s="11"/>
      <c r="B465" s="8"/>
      <c r="C465" s="8"/>
      <c r="D465" s="9"/>
      <c r="E465" s="12" t="str">
        <f aca="false">IF(AND(C465&lt;&gt;"",D465&lt;&gt;""),C465*D465,"")</f>
        <v/>
      </c>
      <c r="F465" s="13"/>
    </row>
    <row r="466" customFormat="false" ht="15" hidden="false" customHeight="true" outlineLevel="0" collapsed="false">
      <c r="A466" s="11"/>
      <c r="B466" s="8"/>
      <c r="C466" s="8"/>
      <c r="D466" s="9"/>
      <c r="E466" s="12" t="str">
        <f aca="false">IF(AND(C466&lt;&gt;"",D466&lt;&gt;""),C466*D466,"")</f>
        <v/>
      </c>
      <c r="F466" s="13"/>
    </row>
    <row r="467" customFormat="false" ht="15" hidden="false" customHeight="true" outlineLevel="0" collapsed="false">
      <c r="A467" s="11"/>
      <c r="B467" s="8"/>
      <c r="C467" s="8"/>
      <c r="D467" s="9"/>
      <c r="E467" s="12" t="str">
        <f aca="false">IF(AND(C467&lt;&gt;"",D467&lt;&gt;""),C467*D467,"")</f>
        <v/>
      </c>
      <c r="F467" s="13"/>
    </row>
    <row r="468" customFormat="false" ht="15" hidden="false" customHeight="true" outlineLevel="0" collapsed="false">
      <c r="A468" s="11"/>
      <c r="B468" s="8"/>
      <c r="C468" s="8"/>
      <c r="D468" s="9"/>
      <c r="E468" s="12" t="str">
        <f aca="false">IF(AND(C468&lt;&gt;"",D468&lt;&gt;""),C468*D468,"")</f>
        <v/>
      </c>
      <c r="F468" s="13"/>
    </row>
    <row r="469" customFormat="false" ht="15" hidden="false" customHeight="true" outlineLevel="0" collapsed="false">
      <c r="A469" s="11"/>
      <c r="B469" s="8"/>
      <c r="C469" s="8"/>
      <c r="D469" s="9"/>
      <c r="E469" s="12" t="str">
        <f aca="false">IF(AND(C469&lt;&gt;"",D469&lt;&gt;""),C469*D469,"")</f>
        <v/>
      </c>
      <c r="F469" s="13"/>
    </row>
    <row r="470" customFormat="false" ht="15" hidden="false" customHeight="true" outlineLevel="0" collapsed="false">
      <c r="A470" s="11"/>
      <c r="B470" s="8"/>
      <c r="C470" s="8"/>
      <c r="D470" s="9"/>
      <c r="E470" s="12" t="str">
        <f aca="false">IF(AND(C470&lt;&gt;"",D470&lt;&gt;""),C470*D470,"")</f>
        <v/>
      </c>
      <c r="F470" s="13"/>
    </row>
    <row r="471" customFormat="false" ht="15" hidden="false" customHeight="true" outlineLevel="0" collapsed="false">
      <c r="A471" s="11"/>
      <c r="B471" s="8"/>
      <c r="C471" s="8"/>
      <c r="D471" s="9"/>
      <c r="E471" s="12" t="str">
        <f aca="false">IF(AND(C471&lt;&gt;"",D471&lt;&gt;""),C471*D471,"")</f>
        <v/>
      </c>
      <c r="F471" s="13"/>
    </row>
    <row r="472" customFormat="false" ht="15" hidden="false" customHeight="true" outlineLevel="0" collapsed="false">
      <c r="A472" s="11"/>
      <c r="B472" s="8"/>
      <c r="C472" s="8"/>
      <c r="D472" s="9"/>
      <c r="E472" s="12" t="str">
        <f aca="false">IF(AND(C472&lt;&gt;"",D472&lt;&gt;""),C472*D472,"")</f>
        <v/>
      </c>
      <c r="F472" s="13"/>
    </row>
    <row r="473" customFormat="false" ht="15" hidden="false" customHeight="true" outlineLevel="0" collapsed="false">
      <c r="A473" s="11"/>
      <c r="B473" s="8"/>
      <c r="C473" s="8"/>
      <c r="D473" s="9"/>
      <c r="E473" s="12" t="str">
        <f aca="false">IF(AND(C473&lt;&gt;"",D473&lt;&gt;""),C473*D473,"")</f>
        <v/>
      </c>
      <c r="F473" s="13"/>
    </row>
    <row r="474" customFormat="false" ht="15" hidden="false" customHeight="true" outlineLevel="0" collapsed="false">
      <c r="A474" s="11"/>
      <c r="B474" s="8"/>
      <c r="C474" s="8"/>
      <c r="D474" s="9"/>
      <c r="E474" s="12" t="str">
        <f aca="false">IF(AND(C474&lt;&gt;"",D474&lt;&gt;""),C474*D474,"")</f>
        <v/>
      </c>
      <c r="F474" s="13"/>
    </row>
    <row r="475" customFormat="false" ht="15" hidden="false" customHeight="true" outlineLevel="0" collapsed="false">
      <c r="A475" s="11"/>
      <c r="B475" s="8"/>
      <c r="C475" s="8"/>
      <c r="D475" s="9"/>
      <c r="E475" s="12" t="str">
        <f aca="false">IF(AND(C475&lt;&gt;"",D475&lt;&gt;""),C475*D475,"")</f>
        <v/>
      </c>
      <c r="F475" s="13"/>
    </row>
    <row r="476" customFormat="false" ht="15" hidden="false" customHeight="true" outlineLevel="0" collapsed="false">
      <c r="A476" s="11"/>
      <c r="B476" s="8"/>
      <c r="C476" s="8"/>
      <c r="D476" s="9"/>
      <c r="E476" s="12" t="str">
        <f aca="false">IF(AND(C476&lt;&gt;"",D476&lt;&gt;""),C476*D476,"")</f>
        <v/>
      </c>
      <c r="F476" s="13"/>
    </row>
    <row r="477" customFormat="false" ht="15" hidden="false" customHeight="true" outlineLevel="0" collapsed="false">
      <c r="A477" s="11"/>
      <c r="B477" s="8"/>
      <c r="C477" s="8"/>
      <c r="D477" s="9"/>
      <c r="E477" s="12" t="str">
        <f aca="false">IF(AND(C477&lt;&gt;"",D477&lt;&gt;""),C477*D477,"")</f>
        <v/>
      </c>
      <c r="F477" s="13"/>
    </row>
    <row r="478" customFormat="false" ht="15" hidden="false" customHeight="true" outlineLevel="0" collapsed="false">
      <c r="A478" s="11"/>
      <c r="B478" s="8"/>
      <c r="C478" s="8"/>
      <c r="D478" s="9"/>
      <c r="E478" s="12" t="str">
        <f aca="false">IF(AND(C478&lt;&gt;"",D478&lt;&gt;""),C478*D478,"")</f>
        <v/>
      </c>
      <c r="F478" s="13"/>
    </row>
    <row r="479" customFormat="false" ht="15" hidden="false" customHeight="true" outlineLevel="0" collapsed="false">
      <c r="A479" s="11"/>
      <c r="B479" s="8"/>
      <c r="C479" s="8"/>
      <c r="D479" s="9"/>
      <c r="E479" s="12" t="str">
        <f aca="false">IF(AND(C479&lt;&gt;"",D479&lt;&gt;""),C479*D479,"")</f>
        <v/>
      </c>
      <c r="F479" s="13"/>
    </row>
    <row r="480" customFormat="false" ht="15" hidden="false" customHeight="true" outlineLevel="0" collapsed="false">
      <c r="A480" s="11"/>
      <c r="B480" s="8"/>
      <c r="C480" s="8"/>
      <c r="D480" s="9"/>
      <c r="E480" s="12" t="str">
        <f aca="false">IF(AND(C480&lt;&gt;"",D480&lt;&gt;""),C480*D480,"")</f>
        <v/>
      </c>
      <c r="F480" s="13"/>
    </row>
    <row r="481" customFormat="false" ht="15" hidden="false" customHeight="true" outlineLevel="0" collapsed="false">
      <c r="A481" s="11"/>
      <c r="B481" s="8"/>
      <c r="C481" s="8"/>
      <c r="D481" s="9"/>
      <c r="E481" s="12" t="str">
        <f aca="false">IF(AND(C481&lt;&gt;"",D481&lt;&gt;""),C481*D481,"")</f>
        <v/>
      </c>
      <c r="F481" s="13"/>
    </row>
    <row r="482" customFormat="false" ht="15" hidden="false" customHeight="true" outlineLevel="0" collapsed="false">
      <c r="A482" s="11"/>
      <c r="B482" s="8"/>
      <c r="C482" s="8"/>
      <c r="D482" s="9"/>
      <c r="E482" s="12" t="str">
        <f aca="false">IF(AND(C482&lt;&gt;"",D482&lt;&gt;""),C482*D482,"")</f>
        <v/>
      </c>
      <c r="F482" s="13"/>
    </row>
    <row r="483" customFormat="false" ht="15" hidden="false" customHeight="true" outlineLevel="0" collapsed="false">
      <c r="A483" s="11"/>
      <c r="B483" s="8"/>
      <c r="C483" s="8"/>
      <c r="D483" s="9"/>
      <c r="E483" s="12" t="str">
        <f aca="false">IF(AND(C483&lt;&gt;"",D483&lt;&gt;""),C483*D483,"")</f>
        <v/>
      </c>
      <c r="F483" s="13"/>
    </row>
    <row r="484" customFormat="false" ht="15" hidden="false" customHeight="true" outlineLevel="0" collapsed="false">
      <c r="A484" s="11"/>
      <c r="B484" s="8"/>
      <c r="C484" s="8"/>
      <c r="D484" s="9"/>
      <c r="E484" s="12" t="str">
        <f aca="false">IF(AND(C484&lt;&gt;"",D484&lt;&gt;""),C484*D484,"")</f>
        <v/>
      </c>
      <c r="F484" s="13"/>
    </row>
    <row r="485" customFormat="false" ht="15" hidden="false" customHeight="true" outlineLevel="0" collapsed="false">
      <c r="A485" s="11"/>
      <c r="B485" s="8"/>
      <c r="C485" s="8"/>
      <c r="D485" s="9"/>
      <c r="E485" s="12" t="str">
        <f aca="false">IF(AND(C485&lt;&gt;"",D485&lt;&gt;""),C485*D485,"")</f>
        <v/>
      </c>
      <c r="F485" s="13"/>
    </row>
    <row r="486" customFormat="false" ht="15" hidden="false" customHeight="true" outlineLevel="0" collapsed="false">
      <c r="A486" s="11"/>
      <c r="B486" s="8"/>
      <c r="C486" s="8"/>
      <c r="D486" s="9"/>
      <c r="E486" s="12" t="str">
        <f aca="false">IF(AND(C486&lt;&gt;"",D486&lt;&gt;""),C486*D486,"")</f>
        <v/>
      </c>
      <c r="F486" s="13"/>
    </row>
    <row r="487" customFormat="false" ht="15" hidden="false" customHeight="true" outlineLevel="0" collapsed="false">
      <c r="A487" s="11"/>
      <c r="B487" s="8"/>
      <c r="C487" s="8"/>
      <c r="D487" s="9"/>
      <c r="E487" s="12" t="str">
        <f aca="false">IF(AND(C487&lt;&gt;"",D487&lt;&gt;""),C487*D487,"")</f>
        <v/>
      </c>
      <c r="F487" s="13"/>
    </row>
    <row r="488" customFormat="false" ht="15" hidden="false" customHeight="true" outlineLevel="0" collapsed="false">
      <c r="A488" s="11"/>
      <c r="B488" s="8"/>
      <c r="C488" s="8"/>
      <c r="D488" s="9"/>
      <c r="E488" s="12" t="str">
        <f aca="false">IF(AND(C488&lt;&gt;"",D488&lt;&gt;""),C488*D488,"")</f>
        <v/>
      </c>
      <c r="F488" s="13"/>
    </row>
    <row r="489" customFormat="false" ht="15" hidden="false" customHeight="true" outlineLevel="0" collapsed="false">
      <c r="A489" s="11"/>
      <c r="B489" s="8"/>
      <c r="C489" s="8"/>
      <c r="D489" s="9"/>
      <c r="E489" s="12" t="str">
        <f aca="false">IF(AND(C489&lt;&gt;"",D489&lt;&gt;""),C489*D489,"")</f>
        <v/>
      </c>
      <c r="F489" s="13"/>
    </row>
    <row r="490" customFormat="false" ht="15" hidden="false" customHeight="true" outlineLevel="0" collapsed="false">
      <c r="A490" s="11"/>
      <c r="B490" s="8"/>
      <c r="C490" s="8"/>
      <c r="D490" s="9"/>
      <c r="E490" s="12" t="str">
        <f aca="false">IF(AND(C490&lt;&gt;"",D490&lt;&gt;""),C490*D490,"")</f>
        <v/>
      </c>
      <c r="F490" s="13"/>
    </row>
    <row r="491" customFormat="false" ht="15" hidden="false" customHeight="true" outlineLevel="0" collapsed="false">
      <c r="A491" s="11"/>
      <c r="B491" s="8"/>
      <c r="C491" s="8"/>
      <c r="D491" s="9"/>
      <c r="E491" s="12" t="str">
        <f aca="false">IF(AND(C491&lt;&gt;"",D491&lt;&gt;""),C491*D491,"")</f>
        <v/>
      </c>
      <c r="F491" s="13"/>
    </row>
    <row r="492" customFormat="false" ht="15" hidden="false" customHeight="true" outlineLevel="0" collapsed="false">
      <c r="A492" s="11"/>
      <c r="B492" s="8"/>
      <c r="C492" s="8"/>
      <c r="D492" s="9"/>
      <c r="E492" s="12" t="str">
        <f aca="false">IF(AND(C492&lt;&gt;"",D492&lt;&gt;""),C492*D492,"")</f>
        <v/>
      </c>
      <c r="F492" s="13"/>
    </row>
    <row r="493" customFormat="false" ht="15" hidden="false" customHeight="true" outlineLevel="0" collapsed="false">
      <c r="A493" s="11"/>
      <c r="B493" s="8"/>
      <c r="C493" s="8"/>
      <c r="D493" s="9"/>
      <c r="E493" s="12" t="str">
        <f aca="false">IF(AND(C493&lt;&gt;"",D493&lt;&gt;""),C493*D493,"")</f>
        <v/>
      </c>
      <c r="F493" s="13"/>
    </row>
    <row r="494" customFormat="false" ht="15" hidden="false" customHeight="true" outlineLevel="0" collapsed="false">
      <c r="A494" s="11"/>
      <c r="B494" s="8"/>
      <c r="C494" s="8"/>
      <c r="D494" s="9"/>
      <c r="E494" s="12" t="str">
        <f aca="false">IF(AND(C494&lt;&gt;"",D494&lt;&gt;""),C494*D494,"")</f>
        <v/>
      </c>
      <c r="F494" s="13"/>
    </row>
    <row r="495" customFormat="false" ht="15" hidden="false" customHeight="true" outlineLevel="0" collapsed="false">
      <c r="A495" s="11"/>
      <c r="B495" s="8"/>
      <c r="C495" s="8"/>
      <c r="D495" s="9"/>
      <c r="E495" s="12" t="str">
        <f aca="false">IF(AND(C495&lt;&gt;"",D495&lt;&gt;""),C495*D495,"")</f>
        <v/>
      </c>
      <c r="F495" s="13"/>
    </row>
    <row r="496" customFormat="false" ht="15" hidden="false" customHeight="true" outlineLevel="0" collapsed="false">
      <c r="A496" s="11"/>
      <c r="B496" s="8"/>
      <c r="C496" s="8"/>
      <c r="D496" s="9"/>
      <c r="E496" s="12" t="str">
        <f aca="false">IF(AND(C496&lt;&gt;"",D496&lt;&gt;""),C496*D496,"")</f>
        <v/>
      </c>
      <c r="F496" s="13"/>
    </row>
    <row r="497" customFormat="false" ht="15" hidden="false" customHeight="true" outlineLevel="0" collapsed="false">
      <c r="A497" s="11"/>
      <c r="B497" s="8"/>
      <c r="C497" s="8"/>
      <c r="D497" s="9"/>
      <c r="E497" s="12" t="str">
        <f aca="false">IF(AND(C497&lt;&gt;"",D497&lt;&gt;""),C497*D497,"")</f>
        <v/>
      </c>
      <c r="F497" s="13"/>
    </row>
    <row r="498" customFormat="false" ht="15" hidden="false" customHeight="true" outlineLevel="0" collapsed="false">
      <c r="A498" s="11"/>
      <c r="B498" s="8"/>
      <c r="C498" s="8"/>
      <c r="D498" s="9"/>
      <c r="E498" s="12" t="str">
        <f aca="false">IF(AND(C498&lt;&gt;"",D498&lt;&gt;""),C498*D498,"")</f>
        <v/>
      </c>
      <c r="F498" s="13"/>
    </row>
    <row r="499" customFormat="false" ht="15" hidden="false" customHeight="true" outlineLevel="0" collapsed="false">
      <c r="A499" s="11"/>
      <c r="B499" s="8"/>
      <c r="C499" s="8"/>
      <c r="D499" s="9"/>
      <c r="E499" s="12" t="str">
        <f aca="false">IF(AND(C499&lt;&gt;"",D499&lt;&gt;""),C499*D499,"")</f>
        <v/>
      </c>
      <c r="F499" s="13"/>
    </row>
    <row r="500" customFormat="false" ht="15" hidden="false" customHeight="true" outlineLevel="0" collapsed="false">
      <c r="A500" s="11"/>
      <c r="B500" s="8"/>
      <c r="C500" s="8"/>
      <c r="D500" s="9"/>
      <c r="E500" s="12" t="str">
        <f aca="false">IF(AND(C500&lt;&gt;"",D500&lt;&gt;""),C500*D500,"")</f>
        <v/>
      </c>
      <c r="F500" s="13"/>
    </row>
  </sheetData>
  <dataValidations count="1">
    <dataValidation allowBlank="true" errorStyle="stop" operator="between" showDropDown="false" showErrorMessage="false" showInputMessage="false" sqref="B2:B500" type="list">
      <formula1>'Product List'!$A$2:$A$31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0" t="s">
        <v>28</v>
      </c>
      <c r="B1" s="10" t="s">
        <v>33</v>
      </c>
      <c r="C1" s="10" t="s">
        <v>34</v>
      </c>
      <c r="D1" s="10" t="s">
        <v>35</v>
      </c>
      <c r="E1" s="10" t="s">
        <v>32</v>
      </c>
    </row>
    <row r="2" customFormat="false" ht="15" hidden="false" customHeight="true" outlineLevel="0" collapsed="false">
      <c r="A2" s="11" t="n">
        <v>46174</v>
      </c>
      <c r="B2" s="8" t="s">
        <v>36</v>
      </c>
      <c r="C2" s="8" t="s">
        <v>37</v>
      </c>
      <c r="D2" s="9" t="n">
        <v>5000</v>
      </c>
      <c r="E2" s="13"/>
    </row>
    <row r="3" customFormat="false" ht="15" hidden="false" customHeight="true" outlineLevel="0" collapsed="false">
      <c r="A3" s="11" t="n">
        <v>46183</v>
      </c>
      <c r="B3" s="8" t="s">
        <v>38</v>
      </c>
      <c r="C3" s="8" t="s">
        <v>39</v>
      </c>
      <c r="D3" s="9" t="n">
        <v>3000</v>
      </c>
      <c r="E3" s="13"/>
    </row>
    <row r="4" customFormat="false" ht="15" hidden="false" customHeight="true" outlineLevel="0" collapsed="false">
      <c r="A4" s="11" t="n">
        <v>46191</v>
      </c>
      <c r="B4" s="8" t="s">
        <v>40</v>
      </c>
      <c r="C4" s="8" t="s">
        <v>41</v>
      </c>
      <c r="D4" s="9" t="n">
        <v>800</v>
      </c>
      <c r="E4" s="13"/>
    </row>
    <row r="5" customFormat="false" ht="15" hidden="false" customHeight="true" outlineLevel="0" collapsed="false">
      <c r="A5" s="11" t="n">
        <v>46198</v>
      </c>
      <c r="B5" s="8" t="s">
        <v>42</v>
      </c>
      <c r="C5" s="8" t="s">
        <v>43</v>
      </c>
      <c r="D5" s="9" t="n">
        <v>1200</v>
      </c>
      <c r="E5" s="13"/>
    </row>
    <row r="6" customFormat="false" ht="15" hidden="false" customHeight="true" outlineLevel="0" collapsed="false">
      <c r="A6" s="11" t="n">
        <v>46204</v>
      </c>
      <c r="B6" s="8" t="s">
        <v>36</v>
      </c>
      <c r="C6" s="8" t="s">
        <v>37</v>
      </c>
      <c r="D6" s="9" t="n">
        <v>5000</v>
      </c>
      <c r="E6" s="13"/>
    </row>
    <row r="7" customFormat="false" ht="15" hidden="false" customHeight="true" outlineLevel="0" collapsed="false">
      <c r="A7" s="11" t="n">
        <v>46208</v>
      </c>
      <c r="B7" s="8" t="s">
        <v>44</v>
      </c>
      <c r="C7" s="8" t="s">
        <v>45</v>
      </c>
      <c r="D7" s="9" t="n">
        <v>600</v>
      </c>
      <c r="E7" s="13"/>
    </row>
    <row r="8" customFormat="false" ht="15" hidden="false" customHeight="true" outlineLevel="0" collapsed="false">
      <c r="A8" s="11"/>
      <c r="B8" s="8"/>
      <c r="C8" s="8"/>
      <c r="D8" s="9"/>
      <c r="E8" s="13"/>
    </row>
    <row r="9" customFormat="false" ht="15" hidden="false" customHeight="true" outlineLevel="0" collapsed="false">
      <c r="A9" s="11"/>
      <c r="B9" s="8"/>
      <c r="C9" s="8"/>
      <c r="D9" s="9"/>
      <c r="E9" s="13"/>
    </row>
    <row r="10" customFormat="false" ht="15" hidden="false" customHeight="true" outlineLevel="0" collapsed="false">
      <c r="A10" s="11"/>
      <c r="B10" s="8"/>
      <c r="C10" s="8"/>
      <c r="D10" s="9"/>
      <c r="E10" s="13"/>
    </row>
    <row r="11" customFormat="false" ht="15" hidden="false" customHeight="true" outlineLevel="0" collapsed="false">
      <c r="A11" s="11"/>
      <c r="B11" s="8"/>
      <c r="C11" s="8"/>
      <c r="D11" s="9"/>
      <c r="E11" s="13"/>
    </row>
    <row r="12" customFormat="false" ht="15" hidden="false" customHeight="true" outlineLevel="0" collapsed="false">
      <c r="A12" s="11"/>
      <c r="B12" s="8"/>
      <c r="C12" s="8"/>
      <c r="D12" s="9"/>
      <c r="E12" s="13"/>
    </row>
    <row r="13" customFormat="false" ht="15" hidden="false" customHeight="true" outlineLevel="0" collapsed="false">
      <c r="A13" s="11"/>
      <c r="B13" s="8"/>
      <c r="C13" s="8"/>
      <c r="D13" s="9"/>
      <c r="E13" s="13"/>
    </row>
    <row r="14" customFormat="false" ht="15" hidden="false" customHeight="true" outlineLevel="0" collapsed="false">
      <c r="A14" s="11"/>
      <c r="B14" s="8"/>
      <c r="C14" s="8"/>
      <c r="D14" s="9"/>
      <c r="E14" s="13"/>
    </row>
    <row r="15" customFormat="false" ht="15" hidden="false" customHeight="true" outlineLevel="0" collapsed="false">
      <c r="A15" s="11"/>
      <c r="B15" s="8"/>
      <c r="C15" s="8"/>
      <c r="D15" s="9"/>
      <c r="E15" s="13"/>
    </row>
    <row r="16" customFormat="false" ht="15" hidden="false" customHeight="true" outlineLevel="0" collapsed="false">
      <c r="A16" s="11"/>
      <c r="B16" s="8"/>
      <c r="C16" s="8"/>
      <c r="D16" s="9"/>
      <c r="E16" s="13"/>
    </row>
    <row r="17" customFormat="false" ht="15" hidden="false" customHeight="true" outlineLevel="0" collapsed="false">
      <c r="A17" s="11"/>
      <c r="B17" s="8"/>
      <c r="C17" s="8"/>
      <c r="D17" s="9"/>
      <c r="E17" s="13"/>
    </row>
    <row r="18" customFormat="false" ht="15" hidden="false" customHeight="true" outlineLevel="0" collapsed="false">
      <c r="A18" s="11"/>
      <c r="B18" s="8"/>
      <c r="C18" s="8"/>
      <c r="D18" s="9"/>
      <c r="E18" s="13"/>
    </row>
    <row r="19" customFormat="false" ht="15" hidden="false" customHeight="true" outlineLevel="0" collapsed="false">
      <c r="A19" s="11"/>
      <c r="B19" s="8"/>
      <c r="C19" s="8"/>
      <c r="D19" s="9"/>
      <c r="E19" s="13"/>
    </row>
    <row r="20" customFormat="false" ht="15" hidden="false" customHeight="true" outlineLevel="0" collapsed="false">
      <c r="A20" s="11"/>
      <c r="B20" s="8"/>
      <c r="C20" s="8"/>
      <c r="D20" s="9"/>
      <c r="E20" s="13"/>
    </row>
    <row r="21" customFormat="false" ht="15" hidden="false" customHeight="true" outlineLevel="0" collapsed="false">
      <c r="A21" s="11"/>
      <c r="B21" s="8"/>
      <c r="C21" s="8"/>
      <c r="D21" s="9"/>
      <c r="E21" s="13"/>
    </row>
    <row r="22" customFormat="false" ht="15" hidden="false" customHeight="true" outlineLevel="0" collapsed="false">
      <c r="A22" s="11"/>
      <c r="B22" s="8"/>
      <c r="C22" s="8"/>
      <c r="D22" s="9"/>
      <c r="E22" s="13"/>
    </row>
    <row r="23" customFormat="false" ht="15" hidden="false" customHeight="true" outlineLevel="0" collapsed="false">
      <c r="A23" s="11"/>
      <c r="B23" s="8"/>
      <c r="C23" s="8"/>
      <c r="D23" s="9"/>
      <c r="E23" s="13"/>
    </row>
    <row r="24" customFormat="false" ht="15" hidden="false" customHeight="true" outlineLevel="0" collapsed="false">
      <c r="A24" s="11"/>
      <c r="B24" s="8"/>
      <c r="C24" s="8"/>
      <c r="D24" s="9"/>
      <c r="E24" s="13"/>
    </row>
    <row r="25" customFormat="false" ht="15" hidden="false" customHeight="true" outlineLevel="0" collapsed="false">
      <c r="A25" s="11"/>
      <c r="B25" s="8"/>
      <c r="C25" s="8"/>
      <c r="D25" s="9"/>
      <c r="E25" s="13"/>
    </row>
    <row r="26" customFormat="false" ht="15" hidden="false" customHeight="true" outlineLevel="0" collapsed="false">
      <c r="A26" s="11"/>
      <c r="B26" s="8"/>
      <c r="C26" s="8"/>
      <c r="D26" s="9"/>
      <c r="E26" s="13"/>
    </row>
    <row r="27" customFormat="false" ht="15" hidden="false" customHeight="true" outlineLevel="0" collapsed="false">
      <c r="A27" s="11"/>
      <c r="B27" s="8"/>
      <c r="C27" s="8"/>
      <c r="D27" s="9"/>
      <c r="E27" s="13"/>
    </row>
    <row r="28" customFormat="false" ht="15" hidden="false" customHeight="true" outlineLevel="0" collapsed="false">
      <c r="A28" s="11"/>
      <c r="B28" s="8"/>
      <c r="C28" s="8"/>
      <c r="D28" s="9"/>
      <c r="E28" s="13"/>
    </row>
    <row r="29" customFormat="false" ht="15" hidden="false" customHeight="true" outlineLevel="0" collapsed="false">
      <c r="A29" s="11"/>
      <c r="B29" s="8"/>
      <c r="C29" s="8"/>
      <c r="D29" s="9"/>
      <c r="E29" s="13"/>
    </row>
    <row r="30" customFormat="false" ht="15" hidden="false" customHeight="true" outlineLevel="0" collapsed="false">
      <c r="A30" s="11"/>
      <c r="B30" s="8"/>
      <c r="C30" s="8"/>
      <c r="D30" s="9"/>
      <c r="E30" s="13"/>
    </row>
    <row r="31" customFormat="false" ht="15" hidden="false" customHeight="true" outlineLevel="0" collapsed="false">
      <c r="A31" s="11"/>
      <c r="B31" s="8"/>
      <c r="C31" s="8"/>
      <c r="D31" s="9"/>
      <c r="E31" s="13"/>
    </row>
    <row r="32" customFormat="false" ht="15" hidden="false" customHeight="true" outlineLevel="0" collapsed="false">
      <c r="A32" s="11"/>
      <c r="B32" s="8"/>
      <c r="C32" s="8"/>
      <c r="D32" s="9"/>
      <c r="E32" s="13"/>
    </row>
    <row r="33" customFormat="false" ht="15" hidden="false" customHeight="true" outlineLevel="0" collapsed="false">
      <c r="A33" s="11"/>
      <c r="B33" s="8"/>
      <c r="C33" s="8"/>
      <c r="D33" s="9"/>
      <c r="E33" s="13"/>
    </row>
    <row r="34" customFormat="false" ht="15" hidden="false" customHeight="true" outlineLevel="0" collapsed="false">
      <c r="A34" s="11"/>
      <c r="B34" s="8"/>
      <c r="C34" s="8"/>
      <c r="D34" s="9"/>
      <c r="E34" s="13"/>
    </row>
    <row r="35" customFormat="false" ht="15" hidden="false" customHeight="true" outlineLevel="0" collapsed="false">
      <c r="A35" s="11"/>
      <c r="B35" s="8"/>
      <c r="C35" s="8"/>
      <c r="D35" s="9"/>
      <c r="E35" s="13"/>
    </row>
    <row r="36" customFormat="false" ht="15" hidden="false" customHeight="true" outlineLevel="0" collapsed="false">
      <c r="A36" s="11"/>
      <c r="B36" s="8"/>
      <c r="C36" s="8"/>
      <c r="D36" s="9"/>
      <c r="E36" s="13"/>
    </row>
    <row r="37" customFormat="false" ht="15" hidden="false" customHeight="true" outlineLevel="0" collapsed="false">
      <c r="A37" s="11"/>
      <c r="B37" s="8"/>
      <c r="C37" s="8"/>
      <c r="D37" s="9"/>
      <c r="E37" s="13"/>
    </row>
    <row r="38" customFormat="false" ht="15" hidden="false" customHeight="true" outlineLevel="0" collapsed="false">
      <c r="A38" s="11"/>
      <c r="B38" s="8"/>
      <c r="C38" s="8"/>
      <c r="D38" s="9"/>
      <c r="E38" s="13"/>
    </row>
    <row r="39" customFormat="false" ht="15" hidden="false" customHeight="true" outlineLevel="0" collapsed="false">
      <c r="A39" s="11"/>
      <c r="B39" s="8"/>
      <c r="C39" s="8"/>
      <c r="D39" s="9"/>
      <c r="E39" s="13"/>
    </row>
    <row r="40" customFormat="false" ht="15" hidden="false" customHeight="true" outlineLevel="0" collapsed="false">
      <c r="A40" s="11"/>
      <c r="B40" s="8"/>
      <c r="C40" s="8"/>
      <c r="D40" s="9"/>
      <c r="E40" s="13"/>
    </row>
    <row r="41" customFormat="false" ht="15" hidden="false" customHeight="true" outlineLevel="0" collapsed="false">
      <c r="A41" s="11"/>
      <c r="B41" s="8"/>
      <c r="C41" s="8"/>
      <c r="D41" s="9"/>
      <c r="E41" s="13"/>
    </row>
    <row r="42" customFormat="false" ht="15" hidden="false" customHeight="true" outlineLevel="0" collapsed="false">
      <c r="A42" s="11"/>
      <c r="B42" s="8"/>
      <c r="C42" s="8"/>
      <c r="D42" s="9"/>
      <c r="E42" s="13"/>
    </row>
    <row r="43" customFormat="false" ht="15" hidden="false" customHeight="true" outlineLevel="0" collapsed="false">
      <c r="A43" s="11"/>
      <c r="B43" s="8"/>
      <c r="C43" s="8"/>
      <c r="D43" s="9"/>
      <c r="E43" s="13"/>
    </row>
    <row r="44" customFormat="false" ht="15" hidden="false" customHeight="true" outlineLevel="0" collapsed="false">
      <c r="A44" s="11"/>
      <c r="B44" s="8"/>
      <c r="C44" s="8"/>
      <c r="D44" s="9"/>
      <c r="E44" s="13"/>
    </row>
    <row r="45" customFormat="false" ht="15" hidden="false" customHeight="true" outlineLevel="0" collapsed="false">
      <c r="A45" s="11"/>
      <c r="B45" s="8"/>
      <c r="C45" s="8"/>
      <c r="D45" s="9"/>
      <c r="E45" s="13"/>
    </row>
    <row r="46" customFormat="false" ht="15" hidden="false" customHeight="true" outlineLevel="0" collapsed="false">
      <c r="A46" s="11"/>
      <c r="B46" s="8"/>
      <c r="C46" s="8"/>
      <c r="D46" s="9"/>
      <c r="E46" s="13"/>
    </row>
    <row r="47" customFormat="false" ht="15" hidden="false" customHeight="true" outlineLevel="0" collapsed="false">
      <c r="A47" s="11"/>
      <c r="B47" s="8"/>
      <c r="C47" s="8"/>
      <c r="D47" s="9"/>
      <c r="E47" s="13"/>
    </row>
    <row r="48" customFormat="false" ht="15" hidden="false" customHeight="true" outlineLevel="0" collapsed="false">
      <c r="A48" s="11"/>
      <c r="B48" s="8"/>
      <c r="C48" s="8"/>
      <c r="D48" s="9"/>
      <c r="E48" s="13"/>
    </row>
    <row r="49" customFormat="false" ht="15" hidden="false" customHeight="true" outlineLevel="0" collapsed="false">
      <c r="A49" s="11"/>
      <c r="B49" s="8"/>
      <c r="C49" s="8"/>
      <c r="D49" s="9"/>
      <c r="E49" s="13"/>
    </row>
    <row r="50" customFormat="false" ht="15" hidden="false" customHeight="true" outlineLevel="0" collapsed="false">
      <c r="A50" s="11"/>
      <c r="B50" s="8"/>
      <c r="C50" s="8"/>
      <c r="D50" s="9"/>
      <c r="E50" s="13"/>
    </row>
    <row r="51" customFormat="false" ht="15" hidden="false" customHeight="true" outlineLevel="0" collapsed="false">
      <c r="A51" s="11"/>
      <c r="B51" s="8"/>
      <c r="C51" s="8"/>
      <c r="D51" s="9"/>
      <c r="E51" s="13"/>
    </row>
    <row r="52" customFormat="false" ht="15" hidden="false" customHeight="true" outlineLevel="0" collapsed="false">
      <c r="A52" s="11"/>
      <c r="B52" s="8"/>
      <c r="C52" s="8"/>
      <c r="D52" s="9"/>
      <c r="E52" s="13"/>
    </row>
    <row r="53" customFormat="false" ht="15" hidden="false" customHeight="true" outlineLevel="0" collapsed="false">
      <c r="A53" s="11"/>
      <c r="B53" s="8"/>
      <c r="C53" s="8"/>
      <c r="D53" s="9"/>
      <c r="E53" s="13"/>
    </row>
    <row r="54" customFormat="false" ht="15" hidden="false" customHeight="true" outlineLevel="0" collapsed="false">
      <c r="A54" s="11"/>
      <c r="B54" s="8"/>
      <c r="C54" s="8"/>
      <c r="D54" s="9"/>
      <c r="E54" s="13"/>
    </row>
    <row r="55" customFormat="false" ht="15" hidden="false" customHeight="true" outlineLevel="0" collapsed="false">
      <c r="A55" s="11"/>
      <c r="B55" s="8"/>
      <c r="C55" s="8"/>
      <c r="D55" s="9"/>
      <c r="E55" s="13"/>
    </row>
    <row r="56" customFormat="false" ht="15" hidden="false" customHeight="true" outlineLevel="0" collapsed="false">
      <c r="A56" s="11"/>
      <c r="B56" s="8"/>
      <c r="C56" s="8"/>
      <c r="D56" s="9"/>
      <c r="E56" s="13"/>
    </row>
    <row r="57" customFormat="false" ht="15" hidden="false" customHeight="true" outlineLevel="0" collapsed="false">
      <c r="A57" s="11"/>
      <c r="B57" s="8"/>
      <c r="C57" s="8"/>
      <c r="D57" s="9"/>
      <c r="E57" s="13"/>
    </row>
    <row r="58" customFormat="false" ht="15" hidden="false" customHeight="true" outlineLevel="0" collapsed="false">
      <c r="A58" s="11"/>
      <c r="B58" s="8"/>
      <c r="C58" s="8"/>
      <c r="D58" s="9"/>
      <c r="E58" s="13"/>
    </row>
    <row r="59" customFormat="false" ht="15" hidden="false" customHeight="true" outlineLevel="0" collapsed="false">
      <c r="A59" s="11"/>
      <c r="B59" s="8"/>
      <c r="C59" s="8"/>
      <c r="D59" s="9"/>
      <c r="E59" s="13"/>
    </row>
    <row r="60" customFormat="false" ht="15" hidden="false" customHeight="true" outlineLevel="0" collapsed="false">
      <c r="A60" s="11"/>
      <c r="B60" s="8"/>
      <c r="C60" s="8"/>
      <c r="D60" s="9"/>
      <c r="E60" s="13"/>
    </row>
    <row r="61" customFormat="false" ht="15" hidden="false" customHeight="true" outlineLevel="0" collapsed="false">
      <c r="A61" s="11"/>
      <c r="B61" s="8"/>
      <c r="C61" s="8"/>
      <c r="D61" s="9"/>
      <c r="E61" s="13"/>
    </row>
    <row r="62" customFormat="false" ht="15" hidden="false" customHeight="true" outlineLevel="0" collapsed="false">
      <c r="A62" s="11"/>
      <c r="B62" s="8"/>
      <c r="C62" s="8"/>
      <c r="D62" s="9"/>
      <c r="E62" s="13"/>
    </row>
    <row r="63" customFormat="false" ht="15" hidden="false" customHeight="true" outlineLevel="0" collapsed="false">
      <c r="A63" s="11"/>
      <c r="B63" s="8"/>
      <c r="C63" s="8"/>
      <c r="D63" s="9"/>
      <c r="E63" s="13"/>
    </row>
    <row r="64" customFormat="false" ht="15" hidden="false" customHeight="true" outlineLevel="0" collapsed="false">
      <c r="A64" s="11"/>
      <c r="B64" s="8"/>
      <c r="C64" s="8"/>
      <c r="D64" s="9"/>
      <c r="E64" s="13"/>
    </row>
    <row r="65" customFormat="false" ht="15" hidden="false" customHeight="true" outlineLevel="0" collapsed="false">
      <c r="A65" s="11"/>
      <c r="B65" s="8"/>
      <c r="C65" s="8"/>
      <c r="D65" s="9"/>
      <c r="E65" s="13"/>
    </row>
    <row r="66" customFormat="false" ht="15" hidden="false" customHeight="true" outlineLevel="0" collapsed="false">
      <c r="A66" s="11"/>
      <c r="B66" s="8"/>
      <c r="C66" s="8"/>
      <c r="D66" s="9"/>
      <c r="E66" s="13"/>
    </row>
    <row r="67" customFormat="false" ht="15" hidden="false" customHeight="true" outlineLevel="0" collapsed="false">
      <c r="A67" s="11"/>
      <c r="B67" s="8"/>
      <c r="C67" s="8"/>
      <c r="D67" s="9"/>
      <c r="E67" s="13"/>
    </row>
    <row r="68" customFormat="false" ht="15" hidden="false" customHeight="true" outlineLevel="0" collapsed="false">
      <c r="A68" s="11"/>
      <c r="B68" s="8"/>
      <c r="C68" s="8"/>
      <c r="D68" s="9"/>
      <c r="E68" s="13"/>
    </row>
    <row r="69" customFormat="false" ht="15" hidden="false" customHeight="true" outlineLevel="0" collapsed="false">
      <c r="A69" s="11"/>
      <c r="B69" s="8"/>
      <c r="C69" s="8"/>
      <c r="D69" s="9"/>
      <c r="E69" s="13"/>
    </row>
    <row r="70" customFormat="false" ht="15" hidden="false" customHeight="true" outlineLevel="0" collapsed="false">
      <c r="A70" s="11"/>
      <c r="B70" s="8"/>
      <c r="C70" s="8"/>
      <c r="D70" s="9"/>
      <c r="E70" s="13"/>
    </row>
    <row r="71" customFormat="false" ht="15" hidden="false" customHeight="true" outlineLevel="0" collapsed="false">
      <c r="A71" s="11"/>
      <c r="B71" s="8"/>
      <c r="C71" s="8"/>
      <c r="D71" s="9"/>
      <c r="E71" s="13"/>
    </row>
    <row r="72" customFormat="false" ht="15" hidden="false" customHeight="true" outlineLevel="0" collapsed="false">
      <c r="A72" s="11"/>
      <c r="B72" s="8"/>
      <c r="C72" s="8"/>
      <c r="D72" s="9"/>
      <c r="E72" s="13"/>
    </row>
    <row r="73" customFormat="false" ht="15" hidden="false" customHeight="true" outlineLevel="0" collapsed="false">
      <c r="A73" s="11"/>
      <c r="B73" s="8"/>
      <c r="C73" s="8"/>
      <c r="D73" s="9"/>
      <c r="E73" s="13"/>
    </row>
    <row r="74" customFormat="false" ht="15" hidden="false" customHeight="true" outlineLevel="0" collapsed="false">
      <c r="A74" s="11"/>
      <c r="B74" s="8"/>
      <c r="C74" s="8"/>
      <c r="D74" s="9"/>
      <c r="E74" s="13"/>
    </row>
    <row r="75" customFormat="false" ht="15" hidden="false" customHeight="true" outlineLevel="0" collapsed="false">
      <c r="A75" s="11"/>
      <c r="B75" s="8"/>
      <c r="C75" s="8"/>
      <c r="D75" s="9"/>
      <c r="E75" s="13"/>
    </row>
    <row r="76" customFormat="false" ht="15" hidden="false" customHeight="true" outlineLevel="0" collapsed="false">
      <c r="A76" s="11"/>
      <c r="B76" s="8"/>
      <c r="C76" s="8"/>
      <c r="D76" s="9"/>
      <c r="E76" s="13"/>
    </row>
    <row r="77" customFormat="false" ht="15" hidden="false" customHeight="true" outlineLevel="0" collapsed="false">
      <c r="A77" s="11"/>
      <c r="B77" s="8"/>
      <c r="C77" s="8"/>
      <c r="D77" s="9"/>
      <c r="E77" s="13"/>
    </row>
    <row r="78" customFormat="false" ht="15" hidden="false" customHeight="true" outlineLevel="0" collapsed="false">
      <c r="A78" s="11"/>
      <c r="B78" s="8"/>
      <c r="C78" s="8"/>
      <c r="D78" s="9"/>
      <c r="E78" s="13"/>
    </row>
    <row r="79" customFormat="false" ht="15" hidden="false" customHeight="true" outlineLevel="0" collapsed="false">
      <c r="A79" s="11"/>
      <c r="B79" s="8"/>
      <c r="C79" s="8"/>
      <c r="D79" s="9"/>
      <c r="E79" s="13"/>
    </row>
    <row r="80" customFormat="false" ht="15" hidden="false" customHeight="true" outlineLevel="0" collapsed="false">
      <c r="A80" s="11"/>
      <c r="B80" s="8"/>
      <c r="C80" s="8"/>
      <c r="D80" s="9"/>
      <c r="E80" s="13"/>
    </row>
    <row r="81" customFormat="false" ht="15" hidden="false" customHeight="true" outlineLevel="0" collapsed="false">
      <c r="A81" s="11"/>
      <c r="B81" s="8"/>
      <c r="C81" s="8"/>
      <c r="D81" s="9"/>
      <c r="E81" s="13"/>
    </row>
    <row r="82" customFormat="false" ht="15" hidden="false" customHeight="true" outlineLevel="0" collapsed="false">
      <c r="A82" s="11"/>
      <c r="B82" s="8"/>
      <c r="C82" s="8"/>
      <c r="D82" s="9"/>
      <c r="E82" s="13"/>
    </row>
    <row r="83" customFormat="false" ht="15" hidden="false" customHeight="true" outlineLevel="0" collapsed="false">
      <c r="A83" s="11"/>
      <c r="B83" s="8"/>
      <c r="C83" s="8"/>
      <c r="D83" s="9"/>
      <c r="E83" s="13"/>
    </row>
    <row r="84" customFormat="false" ht="15" hidden="false" customHeight="true" outlineLevel="0" collapsed="false">
      <c r="A84" s="11"/>
      <c r="B84" s="8"/>
      <c r="C84" s="8"/>
      <c r="D84" s="9"/>
      <c r="E84" s="13"/>
    </row>
    <row r="85" customFormat="false" ht="15" hidden="false" customHeight="true" outlineLevel="0" collapsed="false">
      <c r="A85" s="11"/>
      <c r="B85" s="8"/>
      <c r="C85" s="8"/>
      <c r="D85" s="9"/>
      <c r="E85" s="13"/>
    </row>
    <row r="86" customFormat="false" ht="15" hidden="false" customHeight="true" outlineLevel="0" collapsed="false">
      <c r="A86" s="11"/>
      <c r="B86" s="8"/>
      <c r="C86" s="8"/>
      <c r="D86" s="9"/>
      <c r="E86" s="13"/>
    </row>
    <row r="87" customFormat="false" ht="15" hidden="false" customHeight="true" outlineLevel="0" collapsed="false">
      <c r="A87" s="11"/>
      <c r="B87" s="8"/>
      <c r="C87" s="8"/>
      <c r="D87" s="9"/>
      <c r="E87" s="13"/>
    </row>
    <row r="88" customFormat="false" ht="15" hidden="false" customHeight="true" outlineLevel="0" collapsed="false">
      <c r="A88" s="11"/>
      <c r="B88" s="8"/>
      <c r="C88" s="8"/>
      <c r="D88" s="9"/>
      <c r="E88" s="13"/>
    </row>
    <row r="89" customFormat="false" ht="15" hidden="false" customHeight="true" outlineLevel="0" collapsed="false">
      <c r="A89" s="11"/>
      <c r="B89" s="8"/>
      <c r="C89" s="8"/>
      <c r="D89" s="9"/>
      <c r="E89" s="13"/>
    </row>
    <row r="90" customFormat="false" ht="15" hidden="false" customHeight="true" outlineLevel="0" collapsed="false">
      <c r="A90" s="11"/>
      <c r="B90" s="8"/>
      <c r="C90" s="8"/>
      <c r="D90" s="9"/>
      <c r="E90" s="13"/>
    </row>
    <row r="91" customFormat="false" ht="15" hidden="false" customHeight="true" outlineLevel="0" collapsed="false">
      <c r="A91" s="11"/>
      <c r="B91" s="8"/>
      <c r="C91" s="8"/>
      <c r="D91" s="9"/>
      <c r="E91" s="13"/>
    </row>
    <row r="92" customFormat="false" ht="15" hidden="false" customHeight="true" outlineLevel="0" collapsed="false">
      <c r="A92" s="11"/>
      <c r="B92" s="8"/>
      <c r="C92" s="8"/>
      <c r="D92" s="9"/>
      <c r="E92" s="13"/>
    </row>
    <row r="93" customFormat="false" ht="15" hidden="false" customHeight="true" outlineLevel="0" collapsed="false">
      <c r="A93" s="11"/>
      <c r="B93" s="8"/>
      <c r="C93" s="8"/>
      <c r="D93" s="9"/>
      <c r="E93" s="13"/>
    </row>
    <row r="94" customFormat="false" ht="15" hidden="false" customHeight="true" outlineLevel="0" collapsed="false">
      <c r="A94" s="11"/>
      <c r="B94" s="8"/>
      <c r="C94" s="8"/>
      <c r="D94" s="9"/>
      <c r="E94" s="13"/>
    </row>
    <row r="95" customFormat="false" ht="15" hidden="false" customHeight="true" outlineLevel="0" collapsed="false">
      <c r="A95" s="11"/>
      <c r="B95" s="8"/>
      <c r="C95" s="8"/>
      <c r="D95" s="9"/>
      <c r="E95" s="13"/>
    </row>
    <row r="96" customFormat="false" ht="15" hidden="false" customHeight="true" outlineLevel="0" collapsed="false">
      <c r="A96" s="11"/>
      <c r="B96" s="8"/>
      <c r="C96" s="8"/>
      <c r="D96" s="9"/>
      <c r="E96" s="13"/>
    </row>
    <row r="97" customFormat="false" ht="15" hidden="false" customHeight="true" outlineLevel="0" collapsed="false">
      <c r="A97" s="11"/>
      <c r="B97" s="8"/>
      <c r="C97" s="8"/>
      <c r="D97" s="9"/>
      <c r="E97" s="13"/>
    </row>
    <row r="98" customFormat="false" ht="15" hidden="false" customHeight="true" outlineLevel="0" collapsed="false">
      <c r="A98" s="11"/>
      <c r="B98" s="8"/>
      <c r="C98" s="8"/>
      <c r="D98" s="9"/>
      <c r="E98" s="13"/>
    </row>
    <row r="99" customFormat="false" ht="15" hidden="false" customHeight="true" outlineLevel="0" collapsed="false">
      <c r="A99" s="11"/>
      <c r="B99" s="8"/>
      <c r="C99" s="8"/>
      <c r="D99" s="9"/>
      <c r="E99" s="13"/>
    </row>
    <row r="100" customFormat="false" ht="15" hidden="false" customHeight="true" outlineLevel="0" collapsed="false">
      <c r="A100" s="11"/>
      <c r="B100" s="8"/>
      <c r="C100" s="8"/>
      <c r="D100" s="9"/>
      <c r="E100" s="13"/>
    </row>
    <row r="101" customFormat="false" ht="15" hidden="false" customHeight="true" outlineLevel="0" collapsed="false">
      <c r="A101" s="11"/>
      <c r="B101" s="8"/>
      <c r="C101" s="8"/>
      <c r="D101" s="9"/>
      <c r="E101" s="13"/>
    </row>
    <row r="102" customFormat="false" ht="15" hidden="false" customHeight="true" outlineLevel="0" collapsed="false">
      <c r="A102" s="11"/>
      <c r="B102" s="8"/>
      <c r="C102" s="8"/>
      <c r="D102" s="9"/>
      <c r="E102" s="13"/>
    </row>
    <row r="103" customFormat="false" ht="15" hidden="false" customHeight="true" outlineLevel="0" collapsed="false">
      <c r="A103" s="11"/>
      <c r="B103" s="8"/>
      <c r="C103" s="8"/>
      <c r="D103" s="9"/>
      <c r="E103" s="13"/>
    </row>
    <row r="104" customFormat="false" ht="15" hidden="false" customHeight="true" outlineLevel="0" collapsed="false">
      <c r="A104" s="11"/>
      <c r="B104" s="8"/>
      <c r="C104" s="8"/>
      <c r="D104" s="9"/>
      <c r="E104" s="13"/>
    </row>
    <row r="105" customFormat="false" ht="15" hidden="false" customHeight="true" outlineLevel="0" collapsed="false">
      <c r="A105" s="11"/>
      <c r="B105" s="8"/>
      <c r="C105" s="8"/>
      <c r="D105" s="9"/>
      <c r="E105" s="13"/>
    </row>
    <row r="106" customFormat="false" ht="15" hidden="false" customHeight="true" outlineLevel="0" collapsed="false">
      <c r="A106" s="11"/>
      <c r="B106" s="8"/>
      <c r="C106" s="8"/>
      <c r="D106" s="9"/>
      <c r="E106" s="13"/>
    </row>
    <row r="107" customFormat="false" ht="15" hidden="false" customHeight="true" outlineLevel="0" collapsed="false">
      <c r="A107" s="11"/>
      <c r="B107" s="8"/>
      <c r="C107" s="8"/>
      <c r="D107" s="9"/>
      <c r="E107" s="13"/>
    </row>
    <row r="108" customFormat="false" ht="15" hidden="false" customHeight="true" outlineLevel="0" collapsed="false">
      <c r="A108" s="11"/>
      <c r="B108" s="8"/>
      <c r="C108" s="8"/>
      <c r="D108" s="9"/>
      <c r="E108" s="13"/>
    </row>
    <row r="109" customFormat="false" ht="15" hidden="false" customHeight="true" outlineLevel="0" collapsed="false">
      <c r="A109" s="11"/>
      <c r="B109" s="8"/>
      <c r="C109" s="8"/>
      <c r="D109" s="9"/>
      <c r="E109" s="13"/>
    </row>
    <row r="110" customFormat="false" ht="15" hidden="false" customHeight="true" outlineLevel="0" collapsed="false">
      <c r="A110" s="11"/>
      <c r="B110" s="8"/>
      <c r="C110" s="8"/>
      <c r="D110" s="9"/>
      <c r="E110" s="13"/>
    </row>
    <row r="111" customFormat="false" ht="15" hidden="false" customHeight="true" outlineLevel="0" collapsed="false">
      <c r="A111" s="11"/>
      <c r="B111" s="8"/>
      <c r="C111" s="8"/>
      <c r="D111" s="9"/>
      <c r="E111" s="13"/>
    </row>
    <row r="112" customFormat="false" ht="15" hidden="false" customHeight="true" outlineLevel="0" collapsed="false">
      <c r="A112" s="11"/>
      <c r="B112" s="8"/>
      <c r="C112" s="8"/>
      <c r="D112" s="9"/>
      <c r="E112" s="13"/>
    </row>
    <row r="113" customFormat="false" ht="15" hidden="false" customHeight="true" outlineLevel="0" collapsed="false">
      <c r="A113" s="11"/>
      <c r="B113" s="8"/>
      <c r="C113" s="8"/>
      <c r="D113" s="9"/>
      <c r="E113" s="13"/>
    </row>
    <row r="114" customFormat="false" ht="15" hidden="false" customHeight="true" outlineLevel="0" collapsed="false">
      <c r="A114" s="11"/>
      <c r="B114" s="8"/>
      <c r="C114" s="8"/>
      <c r="D114" s="9"/>
      <c r="E114" s="13"/>
    </row>
    <row r="115" customFormat="false" ht="15" hidden="false" customHeight="true" outlineLevel="0" collapsed="false">
      <c r="A115" s="11"/>
      <c r="B115" s="8"/>
      <c r="C115" s="8"/>
      <c r="D115" s="9"/>
      <c r="E115" s="13"/>
    </row>
    <row r="116" customFormat="false" ht="15" hidden="false" customHeight="true" outlineLevel="0" collapsed="false">
      <c r="A116" s="11"/>
      <c r="B116" s="8"/>
      <c r="C116" s="8"/>
      <c r="D116" s="9"/>
      <c r="E116" s="13"/>
    </row>
    <row r="117" customFormat="false" ht="15" hidden="false" customHeight="true" outlineLevel="0" collapsed="false">
      <c r="A117" s="11"/>
      <c r="B117" s="8"/>
      <c r="C117" s="8"/>
      <c r="D117" s="9"/>
      <c r="E117" s="13"/>
    </row>
    <row r="118" customFormat="false" ht="15" hidden="false" customHeight="true" outlineLevel="0" collapsed="false">
      <c r="A118" s="11"/>
      <c r="B118" s="8"/>
      <c r="C118" s="8"/>
      <c r="D118" s="9"/>
      <c r="E118" s="13"/>
    </row>
    <row r="119" customFormat="false" ht="15" hidden="false" customHeight="true" outlineLevel="0" collapsed="false">
      <c r="A119" s="11"/>
      <c r="B119" s="8"/>
      <c r="C119" s="8"/>
      <c r="D119" s="9"/>
      <c r="E119" s="13"/>
    </row>
    <row r="120" customFormat="false" ht="15" hidden="false" customHeight="true" outlineLevel="0" collapsed="false">
      <c r="A120" s="11"/>
      <c r="B120" s="8"/>
      <c r="C120" s="8"/>
      <c r="D120" s="9"/>
      <c r="E120" s="13"/>
    </row>
    <row r="121" customFormat="false" ht="15" hidden="false" customHeight="true" outlineLevel="0" collapsed="false">
      <c r="A121" s="11"/>
      <c r="B121" s="8"/>
      <c r="C121" s="8"/>
      <c r="D121" s="9"/>
      <c r="E121" s="13"/>
    </row>
    <row r="122" customFormat="false" ht="15" hidden="false" customHeight="true" outlineLevel="0" collapsed="false">
      <c r="A122" s="11"/>
      <c r="B122" s="8"/>
      <c r="C122" s="8"/>
      <c r="D122" s="9"/>
      <c r="E122" s="13"/>
    </row>
    <row r="123" customFormat="false" ht="15" hidden="false" customHeight="true" outlineLevel="0" collapsed="false">
      <c r="A123" s="11"/>
      <c r="B123" s="8"/>
      <c r="C123" s="8"/>
      <c r="D123" s="9"/>
      <c r="E123" s="13"/>
    </row>
    <row r="124" customFormat="false" ht="15" hidden="false" customHeight="true" outlineLevel="0" collapsed="false">
      <c r="A124" s="11"/>
      <c r="B124" s="8"/>
      <c r="C124" s="8"/>
      <c r="D124" s="9"/>
      <c r="E124" s="13"/>
    </row>
    <row r="125" customFormat="false" ht="15" hidden="false" customHeight="true" outlineLevel="0" collapsed="false">
      <c r="A125" s="11"/>
      <c r="B125" s="8"/>
      <c r="C125" s="8"/>
      <c r="D125" s="9"/>
      <c r="E125" s="13"/>
    </row>
    <row r="126" customFormat="false" ht="15" hidden="false" customHeight="true" outlineLevel="0" collapsed="false">
      <c r="A126" s="11"/>
      <c r="B126" s="8"/>
      <c r="C126" s="8"/>
      <c r="D126" s="9"/>
      <c r="E126" s="13"/>
    </row>
    <row r="127" customFormat="false" ht="15" hidden="false" customHeight="true" outlineLevel="0" collapsed="false">
      <c r="A127" s="11"/>
      <c r="B127" s="8"/>
      <c r="C127" s="8"/>
      <c r="D127" s="9"/>
      <c r="E127" s="13"/>
    </row>
    <row r="128" customFormat="false" ht="15" hidden="false" customHeight="true" outlineLevel="0" collapsed="false">
      <c r="A128" s="11"/>
      <c r="B128" s="8"/>
      <c r="C128" s="8"/>
      <c r="D128" s="9"/>
      <c r="E128" s="13"/>
    </row>
    <row r="129" customFormat="false" ht="15" hidden="false" customHeight="true" outlineLevel="0" collapsed="false">
      <c r="A129" s="11"/>
      <c r="B129" s="8"/>
      <c r="C129" s="8"/>
      <c r="D129" s="9"/>
      <c r="E129" s="13"/>
    </row>
    <row r="130" customFormat="false" ht="15" hidden="false" customHeight="true" outlineLevel="0" collapsed="false">
      <c r="A130" s="11"/>
      <c r="B130" s="8"/>
      <c r="C130" s="8"/>
      <c r="D130" s="9"/>
      <c r="E130" s="13"/>
    </row>
    <row r="131" customFormat="false" ht="15" hidden="false" customHeight="true" outlineLevel="0" collapsed="false">
      <c r="A131" s="11"/>
      <c r="B131" s="8"/>
      <c r="C131" s="8"/>
      <c r="D131" s="9"/>
      <c r="E131" s="13"/>
    </row>
    <row r="132" customFormat="false" ht="15" hidden="false" customHeight="true" outlineLevel="0" collapsed="false">
      <c r="A132" s="11"/>
      <c r="B132" s="8"/>
      <c r="C132" s="8"/>
      <c r="D132" s="9"/>
      <c r="E132" s="13"/>
    </row>
    <row r="133" customFormat="false" ht="15" hidden="false" customHeight="true" outlineLevel="0" collapsed="false">
      <c r="A133" s="11"/>
      <c r="B133" s="8"/>
      <c r="C133" s="8"/>
      <c r="D133" s="9"/>
      <c r="E133" s="13"/>
    </row>
    <row r="134" customFormat="false" ht="15" hidden="false" customHeight="true" outlineLevel="0" collapsed="false">
      <c r="A134" s="11"/>
      <c r="B134" s="8"/>
      <c r="C134" s="8"/>
      <c r="D134" s="9"/>
      <c r="E134" s="13"/>
    </row>
    <row r="135" customFormat="false" ht="15" hidden="false" customHeight="true" outlineLevel="0" collapsed="false">
      <c r="A135" s="11"/>
      <c r="B135" s="8"/>
      <c r="C135" s="8"/>
      <c r="D135" s="9"/>
      <c r="E135" s="13"/>
    </row>
    <row r="136" customFormat="false" ht="15" hidden="false" customHeight="true" outlineLevel="0" collapsed="false">
      <c r="A136" s="11"/>
      <c r="B136" s="8"/>
      <c r="C136" s="8"/>
      <c r="D136" s="9"/>
      <c r="E136" s="13"/>
    </row>
    <row r="137" customFormat="false" ht="15" hidden="false" customHeight="true" outlineLevel="0" collapsed="false">
      <c r="A137" s="11"/>
      <c r="B137" s="8"/>
      <c r="C137" s="8"/>
      <c r="D137" s="9"/>
      <c r="E137" s="13"/>
    </row>
    <row r="138" customFormat="false" ht="15" hidden="false" customHeight="true" outlineLevel="0" collapsed="false">
      <c r="A138" s="11"/>
      <c r="B138" s="8"/>
      <c r="C138" s="8"/>
      <c r="D138" s="9"/>
      <c r="E138" s="13"/>
    </row>
    <row r="139" customFormat="false" ht="15" hidden="false" customHeight="true" outlineLevel="0" collapsed="false">
      <c r="A139" s="11"/>
      <c r="B139" s="8"/>
      <c r="C139" s="8"/>
      <c r="D139" s="9"/>
      <c r="E139" s="13"/>
    </row>
    <row r="140" customFormat="false" ht="15" hidden="false" customHeight="true" outlineLevel="0" collapsed="false">
      <c r="A140" s="11"/>
      <c r="B140" s="8"/>
      <c r="C140" s="8"/>
      <c r="D140" s="9"/>
      <c r="E140" s="13"/>
    </row>
    <row r="141" customFormat="false" ht="15" hidden="false" customHeight="true" outlineLevel="0" collapsed="false">
      <c r="A141" s="11"/>
      <c r="B141" s="8"/>
      <c r="C141" s="8"/>
      <c r="D141" s="9"/>
      <c r="E141" s="13"/>
    </row>
    <row r="142" customFormat="false" ht="15" hidden="false" customHeight="true" outlineLevel="0" collapsed="false">
      <c r="A142" s="11"/>
      <c r="B142" s="8"/>
      <c r="C142" s="8"/>
      <c r="D142" s="9"/>
      <c r="E142" s="13"/>
    </row>
    <row r="143" customFormat="false" ht="15" hidden="false" customHeight="true" outlineLevel="0" collapsed="false">
      <c r="A143" s="11"/>
      <c r="B143" s="8"/>
      <c r="C143" s="8"/>
      <c r="D143" s="9"/>
      <c r="E143" s="13"/>
    </row>
    <row r="144" customFormat="false" ht="15" hidden="false" customHeight="true" outlineLevel="0" collapsed="false">
      <c r="A144" s="11"/>
      <c r="B144" s="8"/>
      <c r="C144" s="8"/>
      <c r="D144" s="9"/>
      <c r="E144" s="13"/>
    </row>
    <row r="145" customFormat="false" ht="15" hidden="false" customHeight="true" outlineLevel="0" collapsed="false">
      <c r="A145" s="11"/>
      <c r="B145" s="8"/>
      <c r="C145" s="8"/>
      <c r="D145" s="9"/>
      <c r="E145" s="13"/>
    </row>
    <row r="146" customFormat="false" ht="15" hidden="false" customHeight="true" outlineLevel="0" collapsed="false">
      <c r="A146" s="11"/>
      <c r="B146" s="8"/>
      <c r="C146" s="8"/>
      <c r="D146" s="9"/>
      <c r="E146" s="13"/>
    </row>
    <row r="147" customFormat="false" ht="15" hidden="false" customHeight="true" outlineLevel="0" collapsed="false">
      <c r="A147" s="11"/>
      <c r="B147" s="8"/>
      <c r="C147" s="8"/>
      <c r="D147" s="9"/>
      <c r="E147" s="13"/>
    </row>
    <row r="148" customFormat="false" ht="15" hidden="false" customHeight="true" outlineLevel="0" collapsed="false">
      <c r="A148" s="11"/>
      <c r="B148" s="8"/>
      <c r="C148" s="8"/>
      <c r="D148" s="9"/>
      <c r="E148" s="13"/>
    </row>
    <row r="149" customFormat="false" ht="15" hidden="false" customHeight="true" outlineLevel="0" collapsed="false">
      <c r="A149" s="11"/>
      <c r="B149" s="8"/>
      <c r="C149" s="8"/>
      <c r="D149" s="9"/>
      <c r="E149" s="13"/>
    </row>
    <row r="150" customFormat="false" ht="15" hidden="false" customHeight="true" outlineLevel="0" collapsed="false">
      <c r="A150" s="11"/>
      <c r="B150" s="8"/>
      <c r="C150" s="8"/>
      <c r="D150" s="9"/>
      <c r="E150" s="13"/>
    </row>
    <row r="151" customFormat="false" ht="15" hidden="false" customHeight="true" outlineLevel="0" collapsed="false">
      <c r="A151" s="11"/>
      <c r="B151" s="8"/>
      <c r="C151" s="8"/>
      <c r="D151" s="9"/>
      <c r="E151" s="13"/>
    </row>
    <row r="152" customFormat="false" ht="15" hidden="false" customHeight="true" outlineLevel="0" collapsed="false">
      <c r="A152" s="11"/>
      <c r="B152" s="8"/>
      <c r="C152" s="8"/>
      <c r="D152" s="9"/>
      <c r="E152" s="13"/>
    </row>
    <row r="153" customFormat="false" ht="15" hidden="false" customHeight="true" outlineLevel="0" collapsed="false">
      <c r="A153" s="11"/>
      <c r="B153" s="8"/>
      <c r="C153" s="8"/>
      <c r="D153" s="9"/>
      <c r="E153" s="13"/>
    </row>
    <row r="154" customFormat="false" ht="15" hidden="false" customHeight="true" outlineLevel="0" collapsed="false">
      <c r="A154" s="11"/>
      <c r="B154" s="8"/>
      <c r="C154" s="8"/>
      <c r="D154" s="9"/>
      <c r="E154" s="13"/>
    </row>
    <row r="155" customFormat="false" ht="15" hidden="false" customHeight="true" outlineLevel="0" collapsed="false">
      <c r="A155" s="11"/>
      <c r="B155" s="8"/>
      <c r="C155" s="8"/>
      <c r="D155" s="9"/>
      <c r="E155" s="13"/>
    </row>
    <row r="156" customFormat="false" ht="15" hidden="false" customHeight="true" outlineLevel="0" collapsed="false">
      <c r="A156" s="11"/>
      <c r="B156" s="8"/>
      <c r="C156" s="8"/>
      <c r="D156" s="9"/>
      <c r="E156" s="13"/>
    </row>
    <row r="157" customFormat="false" ht="15" hidden="false" customHeight="true" outlineLevel="0" collapsed="false">
      <c r="A157" s="11"/>
      <c r="B157" s="8"/>
      <c r="C157" s="8"/>
      <c r="D157" s="9"/>
      <c r="E157" s="13"/>
    </row>
    <row r="158" customFormat="false" ht="15" hidden="false" customHeight="true" outlineLevel="0" collapsed="false">
      <c r="A158" s="11"/>
      <c r="B158" s="8"/>
      <c r="C158" s="8"/>
      <c r="D158" s="9"/>
      <c r="E158" s="13"/>
    </row>
    <row r="159" customFormat="false" ht="15" hidden="false" customHeight="true" outlineLevel="0" collapsed="false">
      <c r="A159" s="11"/>
      <c r="B159" s="8"/>
      <c r="C159" s="8"/>
      <c r="D159" s="9"/>
      <c r="E159" s="13"/>
    </row>
    <row r="160" customFormat="false" ht="15" hidden="false" customHeight="true" outlineLevel="0" collapsed="false">
      <c r="A160" s="11"/>
      <c r="B160" s="8"/>
      <c r="C160" s="8"/>
      <c r="D160" s="9"/>
      <c r="E160" s="13"/>
    </row>
    <row r="161" customFormat="false" ht="15" hidden="false" customHeight="true" outlineLevel="0" collapsed="false">
      <c r="A161" s="11"/>
      <c r="B161" s="8"/>
      <c r="C161" s="8"/>
      <c r="D161" s="9"/>
      <c r="E161" s="13"/>
    </row>
    <row r="162" customFormat="false" ht="15" hidden="false" customHeight="true" outlineLevel="0" collapsed="false">
      <c r="A162" s="11"/>
      <c r="B162" s="8"/>
      <c r="C162" s="8"/>
      <c r="D162" s="9"/>
      <c r="E162" s="13"/>
    </row>
    <row r="163" customFormat="false" ht="15" hidden="false" customHeight="true" outlineLevel="0" collapsed="false">
      <c r="A163" s="11"/>
      <c r="B163" s="8"/>
      <c r="C163" s="8"/>
      <c r="D163" s="9"/>
      <c r="E163" s="13"/>
    </row>
    <row r="164" customFormat="false" ht="15" hidden="false" customHeight="true" outlineLevel="0" collapsed="false">
      <c r="A164" s="11"/>
      <c r="B164" s="8"/>
      <c r="C164" s="8"/>
      <c r="D164" s="9"/>
      <c r="E164" s="13"/>
    </row>
    <row r="165" customFormat="false" ht="15" hidden="false" customHeight="true" outlineLevel="0" collapsed="false">
      <c r="A165" s="11"/>
      <c r="B165" s="8"/>
      <c r="C165" s="8"/>
      <c r="D165" s="9"/>
      <c r="E165" s="13"/>
    </row>
    <row r="166" customFormat="false" ht="15" hidden="false" customHeight="true" outlineLevel="0" collapsed="false">
      <c r="A166" s="11"/>
      <c r="B166" s="8"/>
      <c r="C166" s="8"/>
      <c r="D166" s="9"/>
      <c r="E166" s="13"/>
    </row>
    <row r="167" customFormat="false" ht="15" hidden="false" customHeight="true" outlineLevel="0" collapsed="false">
      <c r="A167" s="11"/>
      <c r="B167" s="8"/>
      <c r="C167" s="8"/>
      <c r="D167" s="9"/>
      <c r="E167" s="13"/>
    </row>
    <row r="168" customFormat="false" ht="15" hidden="false" customHeight="true" outlineLevel="0" collapsed="false">
      <c r="A168" s="11"/>
      <c r="B168" s="8"/>
      <c r="C168" s="8"/>
      <c r="D168" s="9"/>
      <c r="E168" s="13"/>
    </row>
    <row r="169" customFormat="false" ht="15" hidden="false" customHeight="true" outlineLevel="0" collapsed="false">
      <c r="A169" s="11"/>
      <c r="B169" s="8"/>
      <c r="C169" s="8"/>
      <c r="D169" s="9"/>
      <c r="E169" s="13"/>
    </row>
    <row r="170" customFormat="false" ht="15" hidden="false" customHeight="true" outlineLevel="0" collapsed="false">
      <c r="A170" s="11"/>
      <c r="B170" s="8"/>
      <c r="C170" s="8"/>
      <c r="D170" s="9"/>
      <c r="E170" s="13"/>
    </row>
    <row r="171" customFormat="false" ht="15" hidden="false" customHeight="true" outlineLevel="0" collapsed="false">
      <c r="A171" s="11"/>
      <c r="B171" s="8"/>
      <c r="C171" s="8"/>
      <c r="D171" s="9"/>
      <c r="E171" s="13"/>
    </row>
    <row r="172" customFormat="false" ht="15" hidden="false" customHeight="true" outlineLevel="0" collapsed="false">
      <c r="A172" s="11"/>
      <c r="B172" s="8"/>
      <c r="C172" s="8"/>
      <c r="D172" s="9"/>
      <c r="E172" s="13"/>
    </row>
    <row r="173" customFormat="false" ht="15" hidden="false" customHeight="true" outlineLevel="0" collapsed="false">
      <c r="A173" s="11"/>
      <c r="B173" s="8"/>
      <c r="C173" s="8"/>
      <c r="D173" s="9"/>
      <c r="E173" s="13"/>
    </row>
    <row r="174" customFormat="false" ht="15" hidden="false" customHeight="true" outlineLevel="0" collapsed="false">
      <c r="A174" s="11"/>
      <c r="B174" s="8"/>
      <c r="C174" s="8"/>
      <c r="D174" s="9"/>
      <c r="E174" s="13"/>
    </row>
    <row r="175" customFormat="false" ht="15" hidden="false" customHeight="true" outlineLevel="0" collapsed="false">
      <c r="A175" s="11"/>
      <c r="B175" s="8"/>
      <c r="C175" s="8"/>
      <c r="D175" s="9"/>
      <c r="E175" s="13"/>
    </row>
    <row r="176" customFormat="false" ht="15" hidden="false" customHeight="true" outlineLevel="0" collapsed="false">
      <c r="A176" s="11"/>
      <c r="B176" s="8"/>
      <c r="C176" s="8"/>
      <c r="D176" s="9"/>
      <c r="E176" s="13"/>
    </row>
    <row r="177" customFormat="false" ht="15" hidden="false" customHeight="true" outlineLevel="0" collapsed="false">
      <c r="A177" s="11"/>
      <c r="B177" s="8"/>
      <c r="C177" s="8"/>
      <c r="D177" s="9"/>
      <c r="E177" s="13"/>
    </row>
    <row r="178" customFormat="false" ht="15" hidden="false" customHeight="true" outlineLevel="0" collapsed="false">
      <c r="A178" s="11"/>
      <c r="B178" s="8"/>
      <c r="C178" s="8"/>
      <c r="D178" s="9"/>
      <c r="E178" s="13"/>
    </row>
    <row r="179" customFormat="false" ht="15" hidden="false" customHeight="true" outlineLevel="0" collapsed="false">
      <c r="A179" s="11"/>
      <c r="B179" s="8"/>
      <c r="C179" s="8"/>
      <c r="D179" s="9"/>
      <c r="E179" s="13"/>
    </row>
    <row r="180" customFormat="false" ht="15" hidden="false" customHeight="true" outlineLevel="0" collapsed="false">
      <c r="A180" s="11"/>
      <c r="B180" s="8"/>
      <c r="C180" s="8"/>
      <c r="D180" s="9"/>
      <c r="E180" s="13"/>
    </row>
    <row r="181" customFormat="false" ht="15" hidden="false" customHeight="true" outlineLevel="0" collapsed="false">
      <c r="A181" s="11"/>
      <c r="B181" s="8"/>
      <c r="C181" s="8"/>
      <c r="D181" s="9"/>
      <c r="E181" s="13"/>
    </row>
    <row r="182" customFormat="false" ht="15" hidden="false" customHeight="true" outlineLevel="0" collapsed="false">
      <c r="A182" s="11"/>
      <c r="B182" s="8"/>
      <c r="C182" s="8"/>
      <c r="D182" s="9"/>
      <c r="E182" s="13"/>
    </row>
    <row r="183" customFormat="false" ht="15" hidden="false" customHeight="true" outlineLevel="0" collapsed="false">
      <c r="A183" s="11"/>
      <c r="B183" s="8"/>
      <c r="C183" s="8"/>
      <c r="D183" s="9"/>
      <c r="E183" s="13"/>
    </row>
    <row r="184" customFormat="false" ht="15" hidden="false" customHeight="true" outlineLevel="0" collapsed="false">
      <c r="A184" s="11"/>
      <c r="B184" s="8"/>
      <c r="C184" s="8"/>
      <c r="D184" s="9"/>
      <c r="E184" s="13"/>
    </row>
    <row r="185" customFormat="false" ht="15" hidden="false" customHeight="true" outlineLevel="0" collapsed="false">
      <c r="A185" s="11"/>
      <c r="B185" s="8"/>
      <c r="C185" s="8"/>
      <c r="D185" s="9"/>
      <c r="E185" s="13"/>
    </row>
    <row r="186" customFormat="false" ht="15" hidden="false" customHeight="true" outlineLevel="0" collapsed="false">
      <c r="A186" s="11"/>
      <c r="B186" s="8"/>
      <c r="C186" s="8"/>
      <c r="D186" s="9"/>
      <c r="E186" s="13"/>
    </row>
    <row r="187" customFormat="false" ht="15" hidden="false" customHeight="true" outlineLevel="0" collapsed="false">
      <c r="A187" s="11"/>
      <c r="B187" s="8"/>
      <c r="C187" s="8"/>
      <c r="D187" s="9"/>
      <c r="E187" s="13"/>
    </row>
    <row r="188" customFormat="false" ht="15" hidden="false" customHeight="true" outlineLevel="0" collapsed="false">
      <c r="A188" s="11"/>
      <c r="B188" s="8"/>
      <c r="C188" s="8"/>
      <c r="D188" s="9"/>
      <c r="E188" s="13"/>
    </row>
    <row r="189" customFormat="false" ht="15" hidden="false" customHeight="true" outlineLevel="0" collapsed="false">
      <c r="A189" s="11"/>
      <c r="B189" s="8"/>
      <c r="C189" s="8"/>
      <c r="D189" s="9"/>
      <c r="E189" s="13"/>
    </row>
    <row r="190" customFormat="false" ht="15" hidden="false" customHeight="true" outlineLevel="0" collapsed="false">
      <c r="A190" s="11"/>
      <c r="B190" s="8"/>
      <c r="C190" s="8"/>
      <c r="D190" s="9"/>
      <c r="E190" s="13"/>
    </row>
    <row r="191" customFormat="false" ht="15" hidden="false" customHeight="true" outlineLevel="0" collapsed="false">
      <c r="A191" s="11"/>
      <c r="B191" s="8"/>
      <c r="C191" s="8"/>
      <c r="D191" s="9"/>
      <c r="E191" s="13"/>
    </row>
    <row r="192" customFormat="false" ht="15" hidden="false" customHeight="true" outlineLevel="0" collapsed="false">
      <c r="A192" s="11"/>
      <c r="B192" s="8"/>
      <c r="C192" s="8"/>
      <c r="D192" s="9"/>
      <c r="E192" s="13"/>
    </row>
    <row r="193" customFormat="false" ht="15" hidden="false" customHeight="true" outlineLevel="0" collapsed="false">
      <c r="A193" s="11"/>
      <c r="B193" s="8"/>
      <c r="C193" s="8"/>
      <c r="D193" s="9"/>
      <c r="E193" s="13"/>
    </row>
    <row r="194" customFormat="false" ht="15" hidden="false" customHeight="true" outlineLevel="0" collapsed="false">
      <c r="A194" s="11"/>
      <c r="B194" s="8"/>
      <c r="C194" s="8"/>
      <c r="D194" s="9"/>
      <c r="E194" s="13"/>
    </row>
    <row r="195" customFormat="false" ht="15" hidden="false" customHeight="true" outlineLevel="0" collapsed="false">
      <c r="A195" s="11"/>
      <c r="B195" s="8"/>
      <c r="C195" s="8"/>
      <c r="D195" s="9"/>
      <c r="E195" s="13"/>
    </row>
    <row r="196" customFormat="false" ht="15" hidden="false" customHeight="true" outlineLevel="0" collapsed="false">
      <c r="A196" s="11"/>
      <c r="B196" s="8"/>
      <c r="C196" s="8"/>
      <c r="D196" s="9"/>
      <c r="E196" s="13"/>
    </row>
    <row r="197" customFormat="false" ht="15" hidden="false" customHeight="true" outlineLevel="0" collapsed="false">
      <c r="A197" s="11"/>
      <c r="B197" s="8"/>
      <c r="C197" s="8"/>
      <c r="D197" s="9"/>
      <c r="E197" s="13"/>
    </row>
    <row r="198" customFormat="false" ht="15" hidden="false" customHeight="true" outlineLevel="0" collapsed="false">
      <c r="A198" s="11"/>
      <c r="B198" s="8"/>
      <c r="C198" s="8"/>
      <c r="D198" s="9"/>
      <c r="E198" s="13"/>
    </row>
    <row r="199" customFormat="false" ht="15" hidden="false" customHeight="true" outlineLevel="0" collapsed="false">
      <c r="A199" s="11"/>
      <c r="B199" s="8"/>
      <c r="C199" s="8"/>
      <c r="D199" s="9"/>
      <c r="E199" s="13"/>
    </row>
    <row r="200" customFormat="false" ht="15" hidden="false" customHeight="true" outlineLevel="0" collapsed="false">
      <c r="A200" s="11"/>
      <c r="B200" s="8"/>
      <c r="C200" s="8"/>
      <c r="D200" s="9"/>
      <c r="E200" s="13"/>
    </row>
    <row r="201" customFormat="false" ht="15" hidden="false" customHeight="true" outlineLevel="0" collapsed="false">
      <c r="A201" s="11"/>
      <c r="B201" s="8"/>
      <c r="C201" s="8"/>
      <c r="D201" s="9"/>
      <c r="E201" s="13"/>
    </row>
    <row r="202" customFormat="false" ht="15" hidden="false" customHeight="true" outlineLevel="0" collapsed="false">
      <c r="A202" s="11"/>
      <c r="B202" s="8"/>
      <c r="C202" s="8"/>
      <c r="D202" s="9"/>
      <c r="E202" s="13"/>
    </row>
    <row r="203" customFormat="false" ht="15" hidden="false" customHeight="true" outlineLevel="0" collapsed="false">
      <c r="A203" s="11"/>
      <c r="B203" s="8"/>
      <c r="C203" s="8"/>
      <c r="D203" s="9"/>
      <c r="E203" s="13"/>
    </row>
    <row r="204" customFormat="false" ht="15" hidden="false" customHeight="true" outlineLevel="0" collapsed="false">
      <c r="A204" s="11"/>
      <c r="B204" s="8"/>
      <c r="C204" s="8"/>
      <c r="D204" s="9"/>
      <c r="E204" s="13"/>
    </row>
    <row r="205" customFormat="false" ht="15" hidden="false" customHeight="true" outlineLevel="0" collapsed="false">
      <c r="A205" s="11"/>
      <c r="B205" s="8"/>
      <c r="C205" s="8"/>
      <c r="D205" s="9"/>
      <c r="E205" s="13"/>
    </row>
    <row r="206" customFormat="false" ht="15" hidden="false" customHeight="true" outlineLevel="0" collapsed="false">
      <c r="A206" s="11"/>
      <c r="B206" s="8"/>
      <c r="C206" s="8"/>
      <c r="D206" s="9"/>
      <c r="E206" s="13"/>
    </row>
    <row r="207" customFormat="false" ht="15" hidden="false" customHeight="true" outlineLevel="0" collapsed="false">
      <c r="A207" s="11"/>
      <c r="B207" s="8"/>
      <c r="C207" s="8"/>
      <c r="D207" s="9"/>
      <c r="E207" s="13"/>
    </row>
    <row r="208" customFormat="false" ht="15" hidden="false" customHeight="true" outlineLevel="0" collapsed="false">
      <c r="A208" s="11"/>
      <c r="B208" s="8"/>
      <c r="C208" s="8"/>
      <c r="D208" s="9"/>
      <c r="E208" s="13"/>
    </row>
    <row r="209" customFormat="false" ht="15" hidden="false" customHeight="true" outlineLevel="0" collapsed="false">
      <c r="A209" s="11"/>
      <c r="B209" s="8"/>
      <c r="C209" s="8"/>
      <c r="D209" s="9"/>
      <c r="E209" s="13"/>
    </row>
    <row r="210" customFormat="false" ht="15" hidden="false" customHeight="true" outlineLevel="0" collapsed="false">
      <c r="A210" s="11"/>
      <c r="B210" s="8"/>
      <c r="C210" s="8"/>
      <c r="D210" s="9"/>
      <c r="E210" s="13"/>
    </row>
    <row r="211" customFormat="false" ht="15" hidden="false" customHeight="true" outlineLevel="0" collapsed="false">
      <c r="A211" s="11"/>
      <c r="B211" s="8"/>
      <c r="C211" s="8"/>
      <c r="D211" s="9"/>
      <c r="E211" s="13"/>
    </row>
    <row r="212" customFormat="false" ht="15" hidden="false" customHeight="true" outlineLevel="0" collapsed="false">
      <c r="A212" s="11"/>
      <c r="B212" s="8"/>
      <c r="C212" s="8"/>
      <c r="D212" s="9"/>
      <c r="E212" s="13"/>
    </row>
    <row r="213" customFormat="false" ht="15" hidden="false" customHeight="true" outlineLevel="0" collapsed="false">
      <c r="A213" s="11"/>
      <c r="B213" s="8"/>
      <c r="C213" s="8"/>
      <c r="D213" s="9"/>
      <c r="E213" s="13"/>
    </row>
    <row r="214" customFormat="false" ht="15" hidden="false" customHeight="true" outlineLevel="0" collapsed="false">
      <c r="A214" s="11"/>
      <c r="B214" s="8"/>
      <c r="C214" s="8"/>
      <c r="D214" s="9"/>
      <c r="E214" s="13"/>
    </row>
    <row r="215" customFormat="false" ht="15" hidden="false" customHeight="true" outlineLevel="0" collapsed="false">
      <c r="A215" s="11"/>
      <c r="B215" s="8"/>
      <c r="C215" s="8"/>
      <c r="D215" s="9"/>
      <c r="E215" s="13"/>
    </row>
    <row r="216" customFormat="false" ht="15" hidden="false" customHeight="true" outlineLevel="0" collapsed="false">
      <c r="A216" s="11"/>
      <c r="B216" s="8"/>
      <c r="C216" s="8"/>
      <c r="D216" s="9"/>
      <c r="E216" s="13"/>
    </row>
    <row r="217" customFormat="false" ht="15" hidden="false" customHeight="true" outlineLevel="0" collapsed="false">
      <c r="A217" s="11"/>
      <c r="B217" s="8"/>
      <c r="C217" s="8"/>
      <c r="D217" s="9"/>
      <c r="E217" s="13"/>
    </row>
    <row r="218" customFormat="false" ht="15" hidden="false" customHeight="true" outlineLevel="0" collapsed="false">
      <c r="A218" s="11"/>
      <c r="B218" s="8"/>
      <c r="C218" s="8"/>
      <c r="D218" s="9"/>
      <c r="E218" s="13"/>
    </row>
    <row r="219" customFormat="false" ht="15" hidden="false" customHeight="true" outlineLevel="0" collapsed="false">
      <c r="A219" s="11"/>
      <c r="B219" s="8"/>
      <c r="C219" s="8"/>
      <c r="D219" s="9"/>
      <c r="E219" s="13"/>
    </row>
    <row r="220" customFormat="false" ht="15" hidden="false" customHeight="true" outlineLevel="0" collapsed="false">
      <c r="A220" s="11"/>
      <c r="B220" s="8"/>
      <c r="C220" s="8"/>
      <c r="D220" s="9"/>
      <c r="E220" s="13"/>
    </row>
    <row r="221" customFormat="false" ht="15" hidden="false" customHeight="true" outlineLevel="0" collapsed="false">
      <c r="A221" s="11"/>
      <c r="B221" s="8"/>
      <c r="C221" s="8"/>
      <c r="D221" s="9"/>
      <c r="E221" s="13"/>
    </row>
    <row r="222" customFormat="false" ht="15" hidden="false" customHeight="true" outlineLevel="0" collapsed="false">
      <c r="A222" s="11"/>
      <c r="B222" s="8"/>
      <c r="C222" s="8"/>
      <c r="D222" s="9"/>
      <c r="E222" s="13"/>
    </row>
    <row r="223" customFormat="false" ht="15" hidden="false" customHeight="true" outlineLevel="0" collapsed="false">
      <c r="A223" s="11"/>
      <c r="B223" s="8"/>
      <c r="C223" s="8"/>
      <c r="D223" s="9"/>
      <c r="E223" s="13"/>
    </row>
    <row r="224" customFormat="false" ht="15" hidden="false" customHeight="true" outlineLevel="0" collapsed="false">
      <c r="A224" s="11"/>
      <c r="B224" s="8"/>
      <c r="C224" s="8"/>
      <c r="D224" s="9"/>
      <c r="E224" s="13"/>
    </row>
    <row r="225" customFormat="false" ht="15" hidden="false" customHeight="true" outlineLevel="0" collapsed="false">
      <c r="A225" s="11"/>
      <c r="B225" s="8"/>
      <c r="C225" s="8"/>
      <c r="D225" s="9"/>
      <c r="E225" s="13"/>
    </row>
    <row r="226" customFormat="false" ht="15" hidden="false" customHeight="true" outlineLevel="0" collapsed="false">
      <c r="A226" s="11"/>
      <c r="B226" s="8"/>
      <c r="C226" s="8"/>
      <c r="D226" s="9"/>
      <c r="E226" s="13"/>
    </row>
    <row r="227" customFormat="false" ht="15" hidden="false" customHeight="true" outlineLevel="0" collapsed="false">
      <c r="A227" s="11"/>
      <c r="B227" s="8"/>
      <c r="C227" s="8"/>
      <c r="D227" s="9"/>
      <c r="E227" s="13"/>
    </row>
    <row r="228" customFormat="false" ht="15" hidden="false" customHeight="true" outlineLevel="0" collapsed="false">
      <c r="A228" s="11"/>
      <c r="B228" s="8"/>
      <c r="C228" s="8"/>
      <c r="D228" s="9"/>
      <c r="E228" s="13"/>
    </row>
    <row r="229" customFormat="false" ht="15" hidden="false" customHeight="true" outlineLevel="0" collapsed="false">
      <c r="A229" s="11"/>
      <c r="B229" s="8"/>
      <c r="C229" s="8"/>
      <c r="D229" s="9"/>
      <c r="E229" s="13"/>
    </row>
    <row r="230" customFormat="false" ht="15" hidden="false" customHeight="true" outlineLevel="0" collapsed="false">
      <c r="A230" s="11"/>
      <c r="B230" s="8"/>
      <c r="C230" s="8"/>
      <c r="D230" s="9"/>
      <c r="E230" s="13"/>
    </row>
    <row r="231" customFormat="false" ht="15" hidden="false" customHeight="true" outlineLevel="0" collapsed="false">
      <c r="A231" s="11"/>
      <c r="B231" s="8"/>
      <c r="C231" s="8"/>
      <c r="D231" s="9"/>
      <c r="E231" s="13"/>
    </row>
    <row r="232" customFormat="false" ht="15" hidden="false" customHeight="true" outlineLevel="0" collapsed="false">
      <c r="A232" s="11"/>
      <c r="B232" s="8"/>
      <c r="C232" s="8"/>
      <c r="D232" s="9"/>
      <c r="E232" s="13"/>
    </row>
    <row r="233" customFormat="false" ht="15" hidden="false" customHeight="true" outlineLevel="0" collapsed="false">
      <c r="A233" s="11"/>
      <c r="B233" s="8"/>
      <c r="C233" s="8"/>
      <c r="D233" s="9"/>
      <c r="E233" s="13"/>
    </row>
    <row r="234" customFormat="false" ht="15" hidden="false" customHeight="true" outlineLevel="0" collapsed="false">
      <c r="A234" s="11"/>
      <c r="B234" s="8"/>
      <c r="C234" s="8"/>
      <c r="D234" s="9"/>
      <c r="E234" s="13"/>
    </row>
    <row r="235" customFormat="false" ht="15" hidden="false" customHeight="true" outlineLevel="0" collapsed="false">
      <c r="A235" s="11"/>
      <c r="B235" s="8"/>
      <c r="C235" s="8"/>
      <c r="D235" s="9"/>
      <c r="E235" s="13"/>
    </row>
    <row r="236" customFormat="false" ht="15" hidden="false" customHeight="true" outlineLevel="0" collapsed="false">
      <c r="A236" s="11"/>
      <c r="B236" s="8"/>
      <c r="C236" s="8"/>
      <c r="D236" s="9"/>
      <c r="E236" s="13"/>
    </row>
    <row r="237" customFormat="false" ht="15" hidden="false" customHeight="true" outlineLevel="0" collapsed="false">
      <c r="A237" s="11"/>
      <c r="B237" s="8"/>
      <c r="C237" s="8"/>
      <c r="D237" s="9"/>
      <c r="E237" s="13"/>
    </row>
    <row r="238" customFormat="false" ht="15" hidden="false" customHeight="true" outlineLevel="0" collapsed="false">
      <c r="A238" s="11"/>
      <c r="B238" s="8"/>
      <c r="C238" s="8"/>
      <c r="D238" s="9"/>
      <c r="E238" s="13"/>
    </row>
    <row r="239" customFormat="false" ht="15" hidden="false" customHeight="true" outlineLevel="0" collapsed="false">
      <c r="A239" s="11"/>
      <c r="B239" s="8"/>
      <c r="C239" s="8"/>
      <c r="D239" s="9"/>
      <c r="E239" s="13"/>
    </row>
    <row r="240" customFormat="false" ht="15" hidden="false" customHeight="true" outlineLevel="0" collapsed="false">
      <c r="A240" s="11"/>
      <c r="B240" s="8"/>
      <c r="C240" s="8"/>
      <c r="D240" s="9"/>
      <c r="E240" s="13"/>
    </row>
    <row r="241" customFormat="false" ht="15" hidden="false" customHeight="true" outlineLevel="0" collapsed="false">
      <c r="A241" s="11"/>
      <c r="B241" s="8"/>
      <c r="C241" s="8"/>
      <c r="D241" s="9"/>
      <c r="E241" s="13"/>
    </row>
    <row r="242" customFormat="false" ht="15" hidden="false" customHeight="true" outlineLevel="0" collapsed="false">
      <c r="A242" s="11"/>
      <c r="B242" s="8"/>
      <c r="C242" s="8"/>
      <c r="D242" s="9"/>
      <c r="E242" s="13"/>
    </row>
    <row r="243" customFormat="false" ht="15" hidden="false" customHeight="true" outlineLevel="0" collapsed="false">
      <c r="A243" s="11"/>
      <c r="B243" s="8"/>
      <c r="C243" s="8"/>
      <c r="D243" s="9"/>
      <c r="E243" s="13"/>
    </row>
    <row r="244" customFormat="false" ht="15" hidden="false" customHeight="true" outlineLevel="0" collapsed="false">
      <c r="A244" s="11"/>
      <c r="B244" s="8"/>
      <c r="C244" s="8"/>
      <c r="D244" s="9"/>
      <c r="E244" s="13"/>
    </row>
    <row r="245" customFormat="false" ht="15" hidden="false" customHeight="true" outlineLevel="0" collapsed="false">
      <c r="A245" s="11"/>
      <c r="B245" s="8"/>
      <c r="C245" s="8"/>
      <c r="D245" s="9"/>
      <c r="E245" s="13"/>
    </row>
    <row r="246" customFormat="false" ht="15" hidden="false" customHeight="true" outlineLevel="0" collapsed="false">
      <c r="A246" s="11"/>
      <c r="B246" s="8"/>
      <c r="C246" s="8"/>
      <c r="D246" s="9"/>
      <c r="E246" s="13"/>
    </row>
    <row r="247" customFormat="false" ht="15" hidden="false" customHeight="true" outlineLevel="0" collapsed="false">
      <c r="A247" s="11"/>
      <c r="B247" s="8"/>
      <c r="C247" s="8"/>
      <c r="D247" s="9"/>
      <c r="E247" s="13"/>
    </row>
    <row r="248" customFormat="false" ht="15" hidden="false" customHeight="true" outlineLevel="0" collapsed="false">
      <c r="A248" s="11"/>
      <c r="B248" s="8"/>
      <c r="C248" s="8"/>
      <c r="D248" s="9"/>
      <c r="E248" s="13"/>
    </row>
    <row r="249" customFormat="false" ht="15" hidden="false" customHeight="true" outlineLevel="0" collapsed="false">
      <c r="A249" s="11"/>
      <c r="B249" s="8"/>
      <c r="C249" s="8"/>
      <c r="D249" s="9"/>
      <c r="E249" s="13"/>
    </row>
    <row r="250" customFormat="false" ht="15" hidden="false" customHeight="true" outlineLevel="0" collapsed="false">
      <c r="A250" s="11"/>
      <c r="B250" s="8"/>
      <c r="C250" s="8"/>
      <c r="D250" s="9"/>
      <c r="E250" s="13"/>
    </row>
    <row r="251" customFormat="false" ht="15" hidden="false" customHeight="true" outlineLevel="0" collapsed="false">
      <c r="A251" s="11"/>
      <c r="B251" s="8"/>
      <c r="C251" s="8"/>
      <c r="D251" s="9"/>
      <c r="E251" s="13"/>
    </row>
    <row r="252" customFormat="false" ht="15" hidden="false" customHeight="true" outlineLevel="0" collapsed="false">
      <c r="A252" s="11"/>
      <c r="B252" s="8"/>
      <c r="C252" s="8"/>
      <c r="D252" s="9"/>
      <c r="E252" s="13"/>
    </row>
    <row r="253" customFormat="false" ht="15" hidden="false" customHeight="true" outlineLevel="0" collapsed="false">
      <c r="A253" s="11"/>
      <c r="B253" s="8"/>
      <c r="C253" s="8"/>
      <c r="D253" s="9"/>
      <c r="E253" s="13"/>
    </row>
    <row r="254" customFormat="false" ht="15" hidden="false" customHeight="true" outlineLevel="0" collapsed="false">
      <c r="A254" s="11"/>
      <c r="B254" s="8"/>
      <c r="C254" s="8"/>
      <c r="D254" s="9"/>
      <c r="E254" s="13"/>
    </row>
    <row r="255" customFormat="false" ht="15" hidden="false" customHeight="true" outlineLevel="0" collapsed="false">
      <c r="A255" s="11"/>
      <c r="B255" s="8"/>
      <c r="C255" s="8"/>
      <c r="D255" s="9"/>
      <c r="E255" s="13"/>
    </row>
    <row r="256" customFormat="false" ht="15" hidden="false" customHeight="true" outlineLevel="0" collapsed="false">
      <c r="A256" s="11"/>
      <c r="B256" s="8"/>
      <c r="C256" s="8"/>
      <c r="D256" s="9"/>
      <c r="E256" s="13"/>
    </row>
    <row r="257" customFormat="false" ht="15" hidden="false" customHeight="true" outlineLevel="0" collapsed="false">
      <c r="A257" s="11"/>
      <c r="B257" s="8"/>
      <c r="C257" s="8"/>
      <c r="D257" s="9"/>
      <c r="E257" s="13"/>
    </row>
    <row r="258" customFormat="false" ht="15" hidden="false" customHeight="true" outlineLevel="0" collapsed="false">
      <c r="A258" s="11"/>
      <c r="B258" s="8"/>
      <c r="C258" s="8"/>
      <c r="D258" s="9"/>
      <c r="E258" s="13"/>
    </row>
    <row r="259" customFormat="false" ht="15" hidden="false" customHeight="true" outlineLevel="0" collapsed="false">
      <c r="A259" s="11"/>
      <c r="B259" s="8"/>
      <c r="C259" s="8"/>
      <c r="D259" s="9"/>
      <c r="E259" s="13"/>
    </row>
    <row r="260" customFormat="false" ht="15" hidden="false" customHeight="true" outlineLevel="0" collapsed="false">
      <c r="A260" s="11"/>
      <c r="B260" s="8"/>
      <c r="C260" s="8"/>
      <c r="D260" s="9"/>
      <c r="E260" s="13"/>
    </row>
    <row r="261" customFormat="false" ht="15" hidden="false" customHeight="true" outlineLevel="0" collapsed="false">
      <c r="A261" s="11"/>
      <c r="B261" s="8"/>
      <c r="C261" s="8"/>
      <c r="D261" s="9"/>
      <c r="E261" s="13"/>
    </row>
    <row r="262" customFormat="false" ht="15" hidden="false" customHeight="true" outlineLevel="0" collapsed="false">
      <c r="A262" s="11"/>
      <c r="B262" s="8"/>
      <c r="C262" s="8"/>
      <c r="D262" s="9"/>
      <c r="E262" s="13"/>
    </row>
    <row r="263" customFormat="false" ht="15" hidden="false" customHeight="true" outlineLevel="0" collapsed="false">
      <c r="A263" s="11"/>
      <c r="B263" s="8"/>
      <c r="C263" s="8"/>
      <c r="D263" s="9"/>
      <c r="E263" s="13"/>
    </row>
    <row r="264" customFormat="false" ht="15" hidden="false" customHeight="true" outlineLevel="0" collapsed="false">
      <c r="A264" s="11"/>
      <c r="B264" s="8"/>
      <c r="C264" s="8"/>
      <c r="D264" s="9"/>
      <c r="E264" s="13"/>
    </row>
    <row r="265" customFormat="false" ht="15" hidden="false" customHeight="true" outlineLevel="0" collapsed="false">
      <c r="A265" s="11"/>
      <c r="B265" s="8"/>
      <c r="C265" s="8"/>
      <c r="D265" s="9"/>
      <c r="E265" s="13"/>
    </row>
    <row r="266" customFormat="false" ht="15" hidden="false" customHeight="true" outlineLevel="0" collapsed="false">
      <c r="A266" s="11"/>
      <c r="B266" s="8"/>
      <c r="C266" s="8"/>
      <c r="D266" s="9"/>
      <c r="E266" s="13"/>
    </row>
    <row r="267" customFormat="false" ht="15" hidden="false" customHeight="true" outlineLevel="0" collapsed="false">
      <c r="A267" s="11"/>
      <c r="B267" s="8"/>
      <c r="C267" s="8"/>
      <c r="D267" s="9"/>
      <c r="E267" s="13"/>
    </row>
    <row r="268" customFormat="false" ht="15" hidden="false" customHeight="true" outlineLevel="0" collapsed="false">
      <c r="A268" s="11"/>
      <c r="B268" s="8"/>
      <c r="C268" s="8"/>
      <c r="D268" s="9"/>
      <c r="E268" s="13"/>
    </row>
    <row r="269" customFormat="false" ht="15" hidden="false" customHeight="true" outlineLevel="0" collapsed="false">
      <c r="A269" s="11"/>
      <c r="B269" s="8"/>
      <c r="C269" s="8"/>
      <c r="D269" s="9"/>
      <c r="E269" s="13"/>
    </row>
    <row r="270" customFormat="false" ht="15" hidden="false" customHeight="true" outlineLevel="0" collapsed="false">
      <c r="A270" s="11"/>
      <c r="B270" s="8"/>
      <c r="C270" s="8"/>
      <c r="D270" s="9"/>
      <c r="E270" s="13"/>
    </row>
    <row r="271" customFormat="false" ht="15" hidden="false" customHeight="true" outlineLevel="0" collapsed="false">
      <c r="A271" s="11"/>
      <c r="B271" s="8"/>
      <c r="C271" s="8"/>
      <c r="D271" s="9"/>
      <c r="E271" s="13"/>
    </row>
    <row r="272" customFormat="false" ht="15" hidden="false" customHeight="true" outlineLevel="0" collapsed="false">
      <c r="A272" s="11"/>
      <c r="B272" s="8"/>
      <c r="C272" s="8"/>
      <c r="D272" s="9"/>
      <c r="E272" s="13"/>
    </row>
    <row r="273" customFormat="false" ht="15" hidden="false" customHeight="true" outlineLevel="0" collapsed="false">
      <c r="A273" s="11"/>
      <c r="B273" s="8"/>
      <c r="C273" s="8"/>
      <c r="D273" s="9"/>
      <c r="E273" s="13"/>
    </row>
    <row r="274" customFormat="false" ht="15" hidden="false" customHeight="true" outlineLevel="0" collapsed="false">
      <c r="A274" s="11"/>
      <c r="B274" s="8"/>
      <c r="C274" s="8"/>
      <c r="D274" s="9"/>
      <c r="E274" s="13"/>
    </row>
    <row r="275" customFormat="false" ht="15" hidden="false" customHeight="true" outlineLevel="0" collapsed="false">
      <c r="A275" s="11"/>
      <c r="B275" s="8"/>
      <c r="C275" s="8"/>
      <c r="D275" s="9"/>
      <c r="E275" s="13"/>
    </row>
    <row r="276" customFormat="false" ht="15" hidden="false" customHeight="true" outlineLevel="0" collapsed="false">
      <c r="A276" s="11"/>
      <c r="B276" s="8"/>
      <c r="C276" s="8"/>
      <c r="D276" s="9"/>
      <c r="E276" s="13"/>
    </row>
    <row r="277" customFormat="false" ht="15" hidden="false" customHeight="true" outlineLevel="0" collapsed="false">
      <c r="A277" s="11"/>
      <c r="B277" s="8"/>
      <c r="C277" s="8"/>
      <c r="D277" s="9"/>
      <c r="E277" s="13"/>
    </row>
    <row r="278" customFormat="false" ht="15" hidden="false" customHeight="true" outlineLevel="0" collapsed="false">
      <c r="A278" s="11"/>
      <c r="B278" s="8"/>
      <c r="C278" s="8"/>
      <c r="D278" s="9"/>
      <c r="E278" s="13"/>
    </row>
    <row r="279" customFormat="false" ht="15" hidden="false" customHeight="true" outlineLevel="0" collapsed="false">
      <c r="A279" s="11"/>
      <c r="B279" s="8"/>
      <c r="C279" s="8"/>
      <c r="D279" s="9"/>
      <c r="E279" s="13"/>
    </row>
    <row r="280" customFormat="false" ht="15" hidden="false" customHeight="true" outlineLevel="0" collapsed="false">
      <c r="A280" s="11"/>
      <c r="B280" s="8"/>
      <c r="C280" s="8"/>
      <c r="D280" s="9"/>
      <c r="E280" s="13"/>
    </row>
    <row r="281" customFormat="false" ht="15" hidden="false" customHeight="true" outlineLevel="0" collapsed="false">
      <c r="A281" s="11"/>
      <c r="B281" s="8"/>
      <c r="C281" s="8"/>
      <c r="D281" s="9"/>
      <c r="E281" s="13"/>
    </row>
    <row r="282" customFormat="false" ht="15" hidden="false" customHeight="true" outlineLevel="0" collapsed="false">
      <c r="A282" s="11"/>
      <c r="B282" s="8"/>
      <c r="C282" s="8"/>
      <c r="D282" s="9"/>
      <c r="E282" s="13"/>
    </row>
    <row r="283" customFormat="false" ht="15" hidden="false" customHeight="true" outlineLevel="0" collapsed="false">
      <c r="A283" s="11"/>
      <c r="B283" s="8"/>
      <c r="C283" s="8"/>
      <c r="D283" s="9"/>
      <c r="E283" s="13"/>
    </row>
    <row r="284" customFormat="false" ht="15" hidden="false" customHeight="true" outlineLevel="0" collapsed="false">
      <c r="A284" s="11"/>
      <c r="B284" s="8"/>
      <c r="C284" s="8"/>
      <c r="D284" s="9"/>
      <c r="E284" s="13"/>
    </row>
    <row r="285" customFormat="false" ht="15" hidden="false" customHeight="true" outlineLevel="0" collapsed="false">
      <c r="A285" s="11"/>
      <c r="B285" s="8"/>
      <c r="C285" s="8"/>
      <c r="D285" s="9"/>
      <c r="E285" s="13"/>
    </row>
    <row r="286" customFormat="false" ht="15" hidden="false" customHeight="true" outlineLevel="0" collapsed="false">
      <c r="A286" s="11"/>
      <c r="B286" s="8"/>
      <c r="C286" s="8"/>
      <c r="D286" s="9"/>
      <c r="E286" s="13"/>
    </row>
    <row r="287" customFormat="false" ht="15" hidden="false" customHeight="true" outlineLevel="0" collapsed="false">
      <c r="A287" s="11"/>
      <c r="B287" s="8"/>
      <c r="C287" s="8"/>
      <c r="D287" s="9"/>
      <c r="E287" s="13"/>
    </row>
    <row r="288" customFormat="false" ht="15" hidden="false" customHeight="true" outlineLevel="0" collapsed="false">
      <c r="A288" s="11"/>
      <c r="B288" s="8"/>
      <c r="C288" s="8"/>
      <c r="D288" s="9"/>
      <c r="E288" s="13"/>
    </row>
    <row r="289" customFormat="false" ht="15" hidden="false" customHeight="true" outlineLevel="0" collapsed="false">
      <c r="A289" s="11"/>
      <c r="B289" s="8"/>
      <c r="C289" s="8"/>
      <c r="D289" s="9"/>
      <c r="E289" s="13"/>
    </row>
    <row r="290" customFormat="false" ht="15" hidden="false" customHeight="true" outlineLevel="0" collapsed="false">
      <c r="A290" s="11"/>
      <c r="B290" s="8"/>
      <c r="C290" s="8"/>
      <c r="D290" s="9"/>
      <c r="E290" s="13"/>
    </row>
    <row r="291" customFormat="false" ht="15" hidden="false" customHeight="true" outlineLevel="0" collapsed="false">
      <c r="A291" s="11"/>
      <c r="B291" s="8"/>
      <c r="C291" s="8"/>
      <c r="D291" s="9"/>
      <c r="E291" s="13"/>
    </row>
    <row r="292" customFormat="false" ht="15" hidden="false" customHeight="true" outlineLevel="0" collapsed="false">
      <c r="A292" s="11"/>
      <c r="B292" s="8"/>
      <c r="C292" s="8"/>
      <c r="D292" s="9"/>
      <c r="E292" s="13"/>
    </row>
    <row r="293" customFormat="false" ht="15" hidden="false" customHeight="true" outlineLevel="0" collapsed="false">
      <c r="A293" s="11"/>
      <c r="B293" s="8"/>
      <c r="C293" s="8"/>
      <c r="D293" s="9"/>
      <c r="E293" s="13"/>
    </row>
    <row r="294" customFormat="false" ht="15" hidden="false" customHeight="true" outlineLevel="0" collapsed="false">
      <c r="A294" s="11"/>
      <c r="B294" s="8"/>
      <c r="C294" s="8"/>
      <c r="D294" s="9"/>
      <c r="E294" s="13"/>
    </row>
    <row r="295" customFormat="false" ht="15" hidden="false" customHeight="true" outlineLevel="0" collapsed="false">
      <c r="A295" s="11"/>
      <c r="B295" s="8"/>
      <c r="C295" s="8"/>
      <c r="D295" s="9"/>
      <c r="E295" s="13"/>
    </row>
    <row r="296" customFormat="false" ht="15" hidden="false" customHeight="true" outlineLevel="0" collapsed="false">
      <c r="A296" s="11"/>
      <c r="B296" s="8"/>
      <c r="C296" s="8"/>
      <c r="D296" s="9"/>
      <c r="E296" s="13"/>
    </row>
    <row r="297" customFormat="false" ht="15" hidden="false" customHeight="true" outlineLevel="0" collapsed="false">
      <c r="A297" s="11"/>
      <c r="B297" s="8"/>
      <c r="C297" s="8"/>
      <c r="D297" s="9"/>
      <c r="E297" s="13"/>
    </row>
    <row r="298" customFormat="false" ht="15" hidden="false" customHeight="true" outlineLevel="0" collapsed="false">
      <c r="A298" s="11"/>
      <c r="B298" s="8"/>
      <c r="C298" s="8"/>
      <c r="D298" s="9"/>
      <c r="E298" s="13"/>
    </row>
    <row r="299" customFormat="false" ht="15" hidden="false" customHeight="true" outlineLevel="0" collapsed="false">
      <c r="A299" s="11"/>
      <c r="B299" s="8"/>
      <c r="C299" s="8"/>
      <c r="D299" s="9"/>
      <c r="E299" s="13"/>
    </row>
    <row r="300" customFormat="false" ht="15" hidden="false" customHeight="true" outlineLevel="0" collapsed="false">
      <c r="A300" s="11"/>
      <c r="B300" s="8"/>
      <c r="C300" s="8"/>
      <c r="D300" s="9"/>
      <c r="E300" s="13"/>
    </row>
    <row r="301" customFormat="false" ht="15" hidden="false" customHeight="true" outlineLevel="0" collapsed="false">
      <c r="A301" s="11"/>
      <c r="B301" s="8"/>
      <c r="C301" s="8"/>
      <c r="D301" s="9"/>
      <c r="E301" s="13"/>
    </row>
    <row r="302" customFormat="false" ht="15" hidden="false" customHeight="true" outlineLevel="0" collapsed="false">
      <c r="A302" s="11"/>
      <c r="B302" s="8"/>
      <c r="C302" s="8"/>
      <c r="D302" s="9"/>
      <c r="E302" s="13"/>
    </row>
    <row r="303" customFormat="false" ht="15" hidden="false" customHeight="true" outlineLevel="0" collapsed="false">
      <c r="A303" s="11"/>
      <c r="B303" s="8"/>
      <c r="C303" s="8"/>
      <c r="D303" s="9"/>
      <c r="E303" s="13"/>
    </row>
    <row r="304" customFormat="false" ht="15" hidden="false" customHeight="true" outlineLevel="0" collapsed="false">
      <c r="A304" s="11"/>
      <c r="B304" s="8"/>
      <c r="C304" s="8"/>
      <c r="D304" s="9"/>
      <c r="E304" s="13"/>
    </row>
    <row r="305" customFormat="false" ht="15" hidden="false" customHeight="true" outlineLevel="0" collapsed="false">
      <c r="A305" s="11"/>
      <c r="B305" s="8"/>
      <c r="C305" s="8"/>
      <c r="D305" s="9"/>
      <c r="E305" s="13"/>
    </row>
    <row r="306" customFormat="false" ht="15" hidden="false" customHeight="true" outlineLevel="0" collapsed="false">
      <c r="A306" s="11"/>
      <c r="B306" s="8"/>
      <c r="C306" s="8"/>
      <c r="D306" s="9"/>
      <c r="E306" s="13"/>
    </row>
    <row r="307" customFormat="false" ht="15" hidden="false" customHeight="true" outlineLevel="0" collapsed="false">
      <c r="A307" s="11"/>
      <c r="B307" s="8"/>
      <c r="C307" s="8"/>
      <c r="D307" s="9"/>
      <c r="E307" s="13"/>
    </row>
    <row r="308" customFormat="false" ht="15" hidden="false" customHeight="true" outlineLevel="0" collapsed="false">
      <c r="A308" s="11"/>
      <c r="B308" s="8"/>
      <c r="C308" s="8"/>
      <c r="D308" s="9"/>
      <c r="E308" s="13"/>
    </row>
    <row r="309" customFormat="false" ht="15" hidden="false" customHeight="true" outlineLevel="0" collapsed="false">
      <c r="A309" s="11"/>
      <c r="B309" s="8"/>
      <c r="C309" s="8"/>
      <c r="D309" s="9"/>
      <c r="E309" s="13"/>
    </row>
    <row r="310" customFormat="false" ht="15" hidden="false" customHeight="true" outlineLevel="0" collapsed="false">
      <c r="A310" s="11"/>
      <c r="B310" s="8"/>
      <c r="C310" s="8"/>
      <c r="D310" s="9"/>
      <c r="E310" s="13"/>
    </row>
    <row r="311" customFormat="false" ht="15" hidden="false" customHeight="true" outlineLevel="0" collapsed="false">
      <c r="A311" s="11"/>
      <c r="B311" s="8"/>
      <c r="C311" s="8"/>
      <c r="D311" s="9"/>
      <c r="E311" s="13"/>
    </row>
    <row r="312" customFormat="false" ht="15" hidden="false" customHeight="true" outlineLevel="0" collapsed="false">
      <c r="A312" s="11"/>
      <c r="B312" s="8"/>
      <c r="C312" s="8"/>
      <c r="D312" s="9"/>
      <c r="E312" s="13"/>
    </row>
    <row r="313" customFormat="false" ht="15" hidden="false" customHeight="true" outlineLevel="0" collapsed="false">
      <c r="A313" s="11"/>
      <c r="B313" s="8"/>
      <c r="C313" s="8"/>
      <c r="D313" s="9"/>
      <c r="E313" s="13"/>
    </row>
    <row r="314" customFormat="false" ht="15" hidden="false" customHeight="true" outlineLevel="0" collapsed="false">
      <c r="A314" s="11"/>
      <c r="B314" s="8"/>
      <c r="C314" s="8"/>
      <c r="D314" s="9"/>
      <c r="E314" s="13"/>
    </row>
    <row r="315" customFormat="false" ht="15" hidden="false" customHeight="true" outlineLevel="0" collapsed="false">
      <c r="A315" s="11"/>
      <c r="B315" s="8"/>
      <c r="C315" s="8"/>
      <c r="D315" s="9"/>
      <c r="E315" s="13"/>
    </row>
    <row r="316" customFormat="false" ht="15" hidden="false" customHeight="true" outlineLevel="0" collapsed="false">
      <c r="A316" s="11"/>
      <c r="B316" s="8"/>
      <c r="C316" s="8"/>
      <c r="D316" s="9"/>
      <c r="E316" s="13"/>
    </row>
    <row r="317" customFormat="false" ht="15" hidden="false" customHeight="true" outlineLevel="0" collapsed="false">
      <c r="A317" s="11"/>
      <c r="B317" s="8"/>
      <c r="C317" s="8"/>
      <c r="D317" s="9"/>
      <c r="E317" s="13"/>
    </row>
    <row r="318" customFormat="false" ht="15" hidden="false" customHeight="true" outlineLevel="0" collapsed="false">
      <c r="A318" s="11"/>
      <c r="B318" s="8"/>
      <c r="C318" s="8"/>
      <c r="D318" s="9"/>
      <c r="E318" s="13"/>
    </row>
    <row r="319" customFormat="false" ht="15" hidden="false" customHeight="true" outlineLevel="0" collapsed="false">
      <c r="A319" s="11"/>
      <c r="B319" s="8"/>
      <c r="C319" s="8"/>
      <c r="D319" s="9"/>
      <c r="E319" s="13"/>
    </row>
    <row r="320" customFormat="false" ht="15" hidden="false" customHeight="true" outlineLevel="0" collapsed="false">
      <c r="A320" s="11"/>
      <c r="B320" s="8"/>
      <c r="C320" s="8"/>
      <c r="D320" s="9"/>
      <c r="E320" s="13"/>
    </row>
    <row r="321" customFormat="false" ht="15" hidden="false" customHeight="true" outlineLevel="0" collapsed="false">
      <c r="A321" s="11"/>
      <c r="B321" s="8"/>
      <c r="C321" s="8"/>
      <c r="D321" s="9"/>
      <c r="E321" s="13"/>
    </row>
    <row r="322" customFormat="false" ht="15" hidden="false" customHeight="true" outlineLevel="0" collapsed="false">
      <c r="A322" s="11"/>
      <c r="B322" s="8"/>
      <c r="C322" s="8"/>
      <c r="D322" s="9"/>
      <c r="E322" s="13"/>
    </row>
    <row r="323" customFormat="false" ht="15" hidden="false" customHeight="true" outlineLevel="0" collapsed="false">
      <c r="A323" s="11"/>
      <c r="B323" s="8"/>
      <c r="C323" s="8"/>
      <c r="D323" s="9"/>
      <c r="E323" s="13"/>
    </row>
    <row r="324" customFormat="false" ht="15" hidden="false" customHeight="true" outlineLevel="0" collapsed="false">
      <c r="A324" s="11"/>
      <c r="B324" s="8"/>
      <c r="C324" s="8"/>
      <c r="D324" s="9"/>
      <c r="E324" s="13"/>
    </row>
    <row r="325" customFormat="false" ht="15" hidden="false" customHeight="true" outlineLevel="0" collapsed="false">
      <c r="A325" s="11"/>
      <c r="B325" s="8"/>
      <c r="C325" s="8"/>
      <c r="D325" s="9"/>
      <c r="E325" s="13"/>
    </row>
    <row r="326" customFormat="false" ht="15" hidden="false" customHeight="true" outlineLevel="0" collapsed="false">
      <c r="A326" s="11"/>
      <c r="B326" s="8"/>
      <c r="C326" s="8"/>
      <c r="D326" s="9"/>
      <c r="E326" s="13"/>
    </row>
    <row r="327" customFormat="false" ht="15" hidden="false" customHeight="true" outlineLevel="0" collapsed="false">
      <c r="A327" s="11"/>
      <c r="B327" s="8"/>
      <c r="C327" s="8"/>
      <c r="D327" s="9"/>
      <c r="E327" s="13"/>
    </row>
    <row r="328" customFormat="false" ht="15" hidden="false" customHeight="true" outlineLevel="0" collapsed="false">
      <c r="A328" s="11"/>
      <c r="B328" s="8"/>
      <c r="C328" s="8"/>
      <c r="D328" s="9"/>
      <c r="E328" s="13"/>
    </row>
    <row r="329" customFormat="false" ht="15" hidden="false" customHeight="true" outlineLevel="0" collapsed="false">
      <c r="A329" s="11"/>
      <c r="B329" s="8"/>
      <c r="C329" s="8"/>
      <c r="D329" s="9"/>
      <c r="E329" s="13"/>
    </row>
    <row r="330" customFormat="false" ht="15" hidden="false" customHeight="true" outlineLevel="0" collapsed="false">
      <c r="A330" s="11"/>
      <c r="B330" s="8"/>
      <c r="C330" s="8"/>
      <c r="D330" s="9"/>
      <c r="E330" s="13"/>
    </row>
    <row r="331" customFormat="false" ht="15" hidden="false" customHeight="true" outlineLevel="0" collapsed="false">
      <c r="A331" s="11"/>
      <c r="B331" s="8"/>
      <c r="C331" s="8"/>
      <c r="D331" s="9"/>
      <c r="E331" s="13"/>
    </row>
    <row r="332" customFormat="false" ht="15" hidden="false" customHeight="true" outlineLevel="0" collapsed="false">
      <c r="A332" s="11"/>
      <c r="B332" s="8"/>
      <c r="C332" s="8"/>
      <c r="D332" s="9"/>
      <c r="E332" s="13"/>
    </row>
    <row r="333" customFormat="false" ht="15" hidden="false" customHeight="true" outlineLevel="0" collapsed="false">
      <c r="A333" s="11"/>
      <c r="B333" s="8"/>
      <c r="C333" s="8"/>
      <c r="D333" s="9"/>
      <c r="E333" s="13"/>
    </row>
    <row r="334" customFormat="false" ht="15" hidden="false" customHeight="true" outlineLevel="0" collapsed="false">
      <c r="A334" s="11"/>
      <c r="B334" s="8"/>
      <c r="C334" s="8"/>
      <c r="D334" s="9"/>
      <c r="E334" s="13"/>
    </row>
    <row r="335" customFormat="false" ht="15" hidden="false" customHeight="true" outlineLevel="0" collapsed="false">
      <c r="A335" s="11"/>
      <c r="B335" s="8"/>
      <c r="C335" s="8"/>
      <c r="D335" s="9"/>
      <c r="E335" s="13"/>
    </row>
    <row r="336" customFormat="false" ht="15" hidden="false" customHeight="true" outlineLevel="0" collapsed="false">
      <c r="A336" s="11"/>
      <c r="B336" s="8"/>
      <c r="C336" s="8"/>
      <c r="D336" s="9"/>
      <c r="E336" s="13"/>
    </row>
    <row r="337" customFormat="false" ht="15" hidden="false" customHeight="true" outlineLevel="0" collapsed="false">
      <c r="A337" s="11"/>
      <c r="B337" s="8"/>
      <c r="C337" s="8"/>
      <c r="D337" s="9"/>
      <c r="E337" s="13"/>
    </row>
    <row r="338" customFormat="false" ht="15" hidden="false" customHeight="true" outlineLevel="0" collapsed="false">
      <c r="A338" s="11"/>
      <c r="B338" s="8"/>
      <c r="C338" s="8"/>
      <c r="D338" s="9"/>
      <c r="E338" s="13"/>
    </row>
    <row r="339" customFormat="false" ht="15" hidden="false" customHeight="true" outlineLevel="0" collapsed="false">
      <c r="A339" s="11"/>
      <c r="B339" s="8"/>
      <c r="C339" s="8"/>
      <c r="D339" s="9"/>
      <c r="E339" s="13"/>
    </row>
    <row r="340" customFormat="false" ht="15" hidden="false" customHeight="true" outlineLevel="0" collapsed="false">
      <c r="A340" s="11"/>
      <c r="B340" s="8"/>
      <c r="C340" s="8"/>
      <c r="D340" s="9"/>
      <c r="E340" s="13"/>
    </row>
    <row r="341" customFormat="false" ht="15" hidden="false" customHeight="true" outlineLevel="0" collapsed="false">
      <c r="A341" s="11"/>
      <c r="B341" s="8"/>
      <c r="C341" s="8"/>
      <c r="D341" s="9"/>
      <c r="E341" s="13"/>
    </row>
    <row r="342" customFormat="false" ht="15" hidden="false" customHeight="true" outlineLevel="0" collapsed="false">
      <c r="A342" s="11"/>
      <c r="B342" s="8"/>
      <c r="C342" s="8"/>
      <c r="D342" s="9"/>
      <c r="E342" s="13"/>
    </row>
    <row r="343" customFormat="false" ht="15" hidden="false" customHeight="true" outlineLevel="0" collapsed="false">
      <c r="A343" s="11"/>
      <c r="B343" s="8"/>
      <c r="C343" s="8"/>
      <c r="D343" s="9"/>
      <c r="E343" s="13"/>
    </row>
    <row r="344" customFormat="false" ht="15" hidden="false" customHeight="true" outlineLevel="0" collapsed="false">
      <c r="A344" s="11"/>
      <c r="B344" s="8"/>
      <c r="C344" s="8"/>
      <c r="D344" s="9"/>
      <c r="E344" s="13"/>
    </row>
    <row r="345" customFormat="false" ht="15" hidden="false" customHeight="true" outlineLevel="0" collapsed="false">
      <c r="A345" s="11"/>
      <c r="B345" s="8"/>
      <c r="C345" s="8"/>
      <c r="D345" s="9"/>
      <c r="E345" s="13"/>
    </row>
    <row r="346" customFormat="false" ht="15" hidden="false" customHeight="true" outlineLevel="0" collapsed="false">
      <c r="A346" s="11"/>
      <c r="B346" s="8"/>
      <c r="C346" s="8"/>
      <c r="D346" s="9"/>
      <c r="E346" s="13"/>
    </row>
    <row r="347" customFormat="false" ht="15" hidden="false" customHeight="true" outlineLevel="0" collapsed="false">
      <c r="A347" s="11"/>
      <c r="B347" s="8"/>
      <c r="C347" s="8"/>
      <c r="D347" s="9"/>
      <c r="E347" s="13"/>
    </row>
    <row r="348" customFormat="false" ht="15" hidden="false" customHeight="true" outlineLevel="0" collapsed="false">
      <c r="A348" s="11"/>
      <c r="B348" s="8"/>
      <c r="C348" s="8"/>
      <c r="D348" s="9"/>
      <c r="E348" s="13"/>
    </row>
    <row r="349" customFormat="false" ht="15" hidden="false" customHeight="true" outlineLevel="0" collapsed="false">
      <c r="A349" s="11"/>
      <c r="B349" s="8"/>
      <c r="C349" s="8"/>
      <c r="D349" s="9"/>
      <c r="E349" s="13"/>
    </row>
    <row r="350" customFormat="false" ht="15" hidden="false" customHeight="true" outlineLevel="0" collapsed="false">
      <c r="A350" s="11"/>
      <c r="B350" s="8"/>
      <c r="C350" s="8"/>
      <c r="D350" s="9"/>
      <c r="E350" s="13"/>
    </row>
    <row r="351" customFormat="false" ht="15" hidden="false" customHeight="true" outlineLevel="0" collapsed="false">
      <c r="A351" s="11"/>
      <c r="B351" s="8"/>
      <c r="C351" s="8"/>
      <c r="D351" s="9"/>
      <c r="E351" s="13"/>
    </row>
    <row r="352" customFormat="false" ht="15" hidden="false" customHeight="true" outlineLevel="0" collapsed="false">
      <c r="A352" s="11"/>
      <c r="B352" s="8"/>
      <c r="C352" s="8"/>
      <c r="D352" s="9"/>
      <c r="E352" s="13"/>
    </row>
    <row r="353" customFormat="false" ht="15" hidden="false" customHeight="true" outlineLevel="0" collapsed="false">
      <c r="A353" s="11"/>
      <c r="B353" s="8"/>
      <c r="C353" s="8"/>
      <c r="D353" s="9"/>
      <c r="E353" s="13"/>
    </row>
    <row r="354" customFormat="false" ht="15" hidden="false" customHeight="true" outlineLevel="0" collapsed="false">
      <c r="A354" s="11"/>
      <c r="B354" s="8"/>
      <c r="C354" s="8"/>
      <c r="D354" s="9"/>
      <c r="E354" s="13"/>
    </row>
    <row r="355" customFormat="false" ht="15" hidden="false" customHeight="true" outlineLevel="0" collapsed="false">
      <c r="A355" s="11"/>
      <c r="B355" s="8"/>
      <c r="C355" s="8"/>
      <c r="D355" s="9"/>
      <c r="E355" s="13"/>
    </row>
    <row r="356" customFormat="false" ht="15" hidden="false" customHeight="true" outlineLevel="0" collapsed="false">
      <c r="A356" s="11"/>
      <c r="B356" s="8"/>
      <c r="C356" s="8"/>
      <c r="D356" s="9"/>
      <c r="E356" s="13"/>
    </row>
    <row r="357" customFormat="false" ht="15" hidden="false" customHeight="true" outlineLevel="0" collapsed="false">
      <c r="A357" s="11"/>
      <c r="B357" s="8"/>
      <c r="C357" s="8"/>
      <c r="D357" s="9"/>
      <c r="E357" s="13"/>
    </row>
    <row r="358" customFormat="false" ht="15" hidden="false" customHeight="true" outlineLevel="0" collapsed="false">
      <c r="A358" s="11"/>
      <c r="B358" s="8"/>
      <c r="C358" s="8"/>
      <c r="D358" s="9"/>
      <c r="E358" s="13"/>
    </row>
    <row r="359" customFormat="false" ht="15" hidden="false" customHeight="true" outlineLevel="0" collapsed="false">
      <c r="A359" s="11"/>
      <c r="B359" s="8"/>
      <c r="C359" s="8"/>
      <c r="D359" s="9"/>
      <c r="E359" s="13"/>
    </row>
    <row r="360" customFormat="false" ht="15" hidden="false" customHeight="true" outlineLevel="0" collapsed="false">
      <c r="A360" s="11"/>
      <c r="B360" s="8"/>
      <c r="C360" s="8"/>
      <c r="D360" s="9"/>
      <c r="E360" s="13"/>
    </row>
    <row r="361" customFormat="false" ht="15" hidden="false" customHeight="true" outlineLevel="0" collapsed="false">
      <c r="A361" s="11"/>
      <c r="B361" s="8"/>
      <c r="C361" s="8"/>
      <c r="D361" s="9"/>
      <c r="E361" s="13"/>
    </row>
    <row r="362" customFormat="false" ht="15" hidden="false" customHeight="true" outlineLevel="0" collapsed="false">
      <c r="A362" s="11"/>
      <c r="B362" s="8"/>
      <c r="C362" s="8"/>
      <c r="D362" s="9"/>
      <c r="E362" s="13"/>
    </row>
    <row r="363" customFormat="false" ht="15" hidden="false" customHeight="true" outlineLevel="0" collapsed="false">
      <c r="A363" s="11"/>
      <c r="B363" s="8"/>
      <c r="C363" s="8"/>
      <c r="D363" s="9"/>
      <c r="E363" s="13"/>
    </row>
    <row r="364" customFormat="false" ht="15" hidden="false" customHeight="true" outlineLevel="0" collapsed="false">
      <c r="A364" s="11"/>
      <c r="B364" s="8"/>
      <c r="C364" s="8"/>
      <c r="D364" s="9"/>
      <c r="E364" s="13"/>
    </row>
    <row r="365" customFormat="false" ht="15" hidden="false" customHeight="true" outlineLevel="0" collapsed="false">
      <c r="A365" s="11"/>
      <c r="B365" s="8"/>
      <c r="C365" s="8"/>
      <c r="D365" s="9"/>
      <c r="E365" s="13"/>
    </row>
    <row r="366" customFormat="false" ht="15" hidden="false" customHeight="true" outlineLevel="0" collapsed="false">
      <c r="A366" s="11"/>
      <c r="B366" s="8"/>
      <c r="C366" s="8"/>
      <c r="D366" s="9"/>
      <c r="E366" s="13"/>
    </row>
    <row r="367" customFormat="false" ht="15" hidden="false" customHeight="true" outlineLevel="0" collapsed="false">
      <c r="A367" s="11"/>
      <c r="B367" s="8"/>
      <c r="C367" s="8"/>
      <c r="D367" s="9"/>
      <c r="E367" s="13"/>
    </row>
    <row r="368" customFormat="false" ht="15" hidden="false" customHeight="true" outlineLevel="0" collapsed="false">
      <c r="A368" s="11"/>
      <c r="B368" s="8"/>
      <c r="C368" s="8"/>
      <c r="D368" s="9"/>
      <c r="E368" s="13"/>
    </row>
    <row r="369" customFormat="false" ht="15" hidden="false" customHeight="true" outlineLevel="0" collapsed="false">
      <c r="A369" s="11"/>
      <c r="B369" s="8"/>
      <c r="C369" s="8"/>
      <c r="D369" s="9"/>
      <c r="E369" s="13"/>
    </row>
    <row r="370" customFormat="false" ht="15" hidden="false" customHeight="true" outlineLevel="0" collapsed="false">
      <c r="A370" s="11"/>
      <c r="B370" s="8"/>
      <c r="C370" s="8"/>
      <c r="D370" s="9"/>
      <c r="E370" s="13"/>
    </row>
    <row r="371" customFormat="false" ht="15" hidden="false" customHeight="true" outlineLevel="0" collapsed="false">
      <c r="A371" s="11"/>
      <c r="B371" s="8"/>
      <c r="C371" s="8"/>
      <c r="D371" s="9"/>
      <c r="E371" s="13"/>
    </row>
    <row r="372" customFormat="false" ht="15" hidden="false" customHeight="true" outlineLevel="0" collapsed="false">
      <c r="A372" s="11"/>
      <c r="B372" s="8"/>
      <c r="C372" s="8"/>
      <c r="D372" s="9"/>
      <c r="E372" s="13"/>
    </row>
    <row r="373" customFormat="false" ht="15" hidden="false" customHeight="true" outlineLevel="0" collapsed="false">
      <c r="A373" s="11"/>
      <c r="B373" s="8"/>
      <c r="C373" s="8"/>
      <c r="D373" s="9"/>
      <c r="E373" s="13"/>
    </row>
    <row r="374" customFormat="false" ht="15" hidden="false" customHeight="true" outlineLevel="0" collapsed="false">
      <c r="A374" s="11"/>
      <c r="B374" s="8"/>
      <c r="C374" s="8"/>
      <c r="D374" s="9"/>
      <c r="E374" s="13"/>
    </row>
    <row r="375" customFormat="false" ht="15" hidden="false" customHeight="true" outlineLevel="0" collapsed="false">
      <c r="A375" s="11"/>
      <c r="B375" s="8"/>
      <c r="C375" s="8"/>
      <c r="D375" s="9"/>
      <c r="E375" s="13"/>
    </row>
    <row r="376" customFormat="false" ht="15" hidden="false" customHeight="true" outlineLevel="0" collapsed="false">
      <c r="A376" s="11"/>
      <c r="B376" s="8"/>
      <c r="C376" s="8"/>
      <c r="D376" s="9"/>
      <c r="E376" s="13"/>
    </row>
    <row r="377" customFormat="false" ht="15" hidden="false" customHeight="true" outlineLevel="0" collapsed="false">
      <c r="A377" s="11"/>
      <c r="B377" s="8"/>
      <c r="C377" s="8"/>
      <c r="D377" s="9"/>
      <c r="E377" s="13"/>
    </row>
    <row r="378" customFormat="false" ht="15" hidden="false" customHeight="true" outlineLevel="0" collapsed="false">
      <c r="A378" s="11"/>
      <c r="B378" s="8"/>
      <c r="C378" s="8"/>
      <c r="D378" s="9"/>
      <c r="E378" s="13"/>
    </row>
    <row r="379" customFormat="false" ht="15" hidden="false" customHeight="true" outlineLevel="0" collapsed="false">
      <c r="A379" s="11"/>
      <c r="B379" s="8"/>
      <c r="C379" s="8"/>
      <c r="D379" s="9"/>
      <c r="E379" s="13"/>
    </row>
    <row r="380" customFormat="false" ht="15" hidden="false" customHeight="true" outlineLevel="0" collapsed="false">
      <c r="A380" s="11"/>
      <c r="B380" s="8"/>
      <c r="C380" s="8"/>
      <c r="D380" s="9"/>
      <c r="E380" s="13"/>
    </row>
    <row r="381" customFormat="false" ht="15" hidden="false" customHeight="true" outlineLevel="0" collapsed="false">
      <c r="A381" s="11"/>
      <c r="B381" s="8"/>
      <c r="C381" s="8"/>
      <c r="D381" s="9"/>
      <c r="E381" s="13"/>
    </row>
    <row r="382" customFormat="false" ht="15" hidden="false" customHeight="true" outlineLevel="0" collapsed="false">
      <c r="A382" s="11"/>
      <c r="B382" s="8"/>
      <c r="C382" s="8"/>
      <c r="D382" s="9"/>
      <c r="E382" s="13"/>
    </row>
    <row r="383" customFormat="false" ht="15" hidden="false" customHeight="true" outlineLevel="0" collapsed="false">
      <c r="A383" s="11"/>
      <c r="B383" s="8"/>
      <c r="C383" s="8"/>
      <c r="D383" s="9"/>
      <c r="E383" s="13"/>
    </row>
    <row r="384" customFormat="false" ht="15" hidden="false" customHeight="true" outlineLevel="0" collapsed="false">
      <c r="A384" s="11"/>
      <c r="B384" s="8"/>
      <c r="C384" s="8"/>
      <c r="D384" s="9"/>
      <c r="E384" s="13"/>
    </row>
    <row r="385" customFormat="false" ht="15" hidden="false" customHeight="true" outlineLevel="0" collapsed="false">
      <c r="A385" s="11"/>
      <c r="B385" s="8"/>
      <c r="C385" s="8"/>
      <c r="D385" s="9"/>
      <c r="E385" s="13"/>
    </row>
    <row r="386" customFormat="false" ht="15" hidden="false" customHeight="true" outlineLevel="0" collapsed="false">
      <c r="A386" s="11"/>
      <c r="B386" s="8"/>
      <c r="C386" s="8"/>
      <c r="D386" s="9"/>
      <c r="E386" s="13"/>
    </row>
    <row r="387" customFormat="false" ht="15" hidden="false" customHeight="true" outlineLevel="0" collapsed="false">
      <c r="A387" s="11"/>
      <c r="B387" s="8"/>
      <c r="C387" s="8"/>
      <c r="D387" s="9"/>
      <c r="E387" s="13"/>
    </row>
    <row r="388" customFormat="false" ht="15" hidden="false" customHeight="true" outlineLevel="0" collapsed="false">
      <c r="A388" s="11"/>
      <c r="B388" s="8"/>
      <c r="C388" s="8"/>
      <c r="D388" s="9"/>
      <c r="E388" s="13"/>
    </row>
    <row r="389" customFormat="false" ht="15" hidden="false" customHeight="true" outlineLevel="0" collapsed="false">
      <c r="A389" s="11"/>
      <c r="B389" s="8"/>
      <c r="C389" s="8"/>
      <c r="D389" s="9"/>
      <c r="E389" s="13"/>
    </row>
    <row r="390" customFormat="false" ht="15" hidden="false" customHeight="true" outlineLevel="0" collapsed="false">
      <c r="A390" s="11"/>
      <c r="B390" s="8"/>
      <c r="C390" s="8"/>
      <c r="D390" s="9"/>
      <c r="E390" s="13"/>
    </row>
    <row r="391" customFormat="false" ht="15" hidden="false" customHeight="true" outlineLevel="0" collapsed="false">
      <c r="A391" s="11"/>
      <c r="B391" s="8"/>
      <c r="C391" s="8"/>
      <c r="D391" s="9"/>
      <c r="E391" s="13"/>
    </row>
    <row r="392" customFormat="false" ht="15" hidden="false" customHeight="true" outlineLevel="0" collapsed="false">
      <c r="A392" s="11"/>
      <c r="B392" s="8"/>
      <c r="C392" s="8"/>
      <c r="D392" s="9"/>
      <c r="E392" s="13"/>
    </row>
    <row r="393" customFormat="false" ht="15" hidden="false" customHeight="true" outlineLevel="0" collapsed="false">
      <c r="A393" s="11"/>
      <c r="B393" s="8"/>
      <c r="C393" s="8"/>
      <c r="D393" s="9"/>
      <c r="E393" s="13"/>
    </row>
    <row r="394" customFormat="false" ht="15" hidden="false" customHeight="true" outlineLevel="0" collapsed="false">
      <c r="A394" s="11"/>
      <c r="B394" s="8"/>
      <c r="C394" s="8"/>
      <c r="D394" s="9"/>
      <c r="E394" s="13"/>
    </row>
    <row r="395" customFormat="false" ht="15" hidden="false" customHeight="true" outlineLevel="0" collapsed="false">
      <c r="A395" s="11"/>
      <c r="B395" s="8"/>
      <c r="C395" s="8"/>
      <c r="D395" s="9"/>
      <c r="E395" s="13"/>
    </row>
    <row r="396" customFormat="false" ht="15" hidden="false" customHeight="true" outlineLevel="0" collapsed="false">
      <c r="A396" s="11"/>
      <c r="B396" s="8"/>
      <c r="C396" s="8"/>
      <c r="D396" s="9"/>
      <c r="E396" s="13"/>
    </row>
    <row r="397" customFormat="false" ht="15" hidden="false" customHeight="true" outlineLevel="0" collapsed="false">
      <c r="A397" s="11"/>
      <c r="B397" s="8"/>
      <c r="C397" s="8"/>
      <c r="D397" s="9"/>
      <c r="E397" s="13"/>
    </row>
    <row r="398" customFormat="false" ht="15" hidden="false" customHeight="true" outlineLevel="0" collapsed="false">
      <c r="A398" s="11"/>
      <c r="B398" s="8"/>
      <c r="C398" s="8"/>
      <c r="D398" s="9"/>
      <c r="E398" s="13"/>
    </row>
    <row r="399" customFormat="false" ht="15" hidden="false" customHeight="true" outlineLevel="0" collapsed="false">
      <c r="A399" s="11"/>
      <c r="B399" s="8"/>
      <c r="C399" s="8"/>
      <c r="D399" s="9"/>
      <c r="E399" s="13"/>
    </row>
    <row r="400" customFormat="false" ht="15" hidden="false" customHeight="true" outlineLevel="0" collapsed="false">
      <c r="A400" s="11"/>
      <c r="B400" s="8"/>
      <c r="C400" s="8"/>
      <c r="D400" s="9"/>
      <c r="E400" s="13"/>
    </row>
    <row r="401" customFormat="false" ht="15" hidden="false" customHeight="true" outlineLevel="0" collapsed="false">
      <c r="A401" s="11"/>
      <c r="B401" s="8"/>
      <c r="C401" s="8"/>
      <c r="D401" s="9"/>
      <c r="E401" s="13"/>
    </row>
    <row r="402" customFormat="false" ht="15" hidden="false" customHeight="true" outlineLevel="0" collapsed="false">
      <c r="A402" s="11"/>
      <c r="B402" s="8"/>
      <c r="C402" s="8"/>
      <c r="D402" s="9"/>
      <c r="E402" s="13"/>
    </row>
    <row r="403" customFormat="false" ht="15" hidden="false" customHeight="true" outlineLevel="0" collapsed="false">
      <c r="A403" s="11"/>
      <c r="B403" s="8"/>
      <c r="C403" s="8"/>
      <c r="D403" s="9"/>
      <c r="E403" s="13"/>
    </row>
    <row r="404" customFormat="false" ht="15" hidden="false" customHeight="true" outlineLevel="0" collapsed="false">
      <c r="A404" s="11"/>
      <c r="B404" s="8"/>
      <c r="C404" s="8"/>
      <c r="D404" s="9"/>
      <c r="E404" s="13"/>
    </row>
    <row r="405" customFormat="false" ht="15" hidden="false" customHeight="true" outlineLevel="0" collapsed="false">
      <c r="A405" s="11"/>
      <c r="B405" s="8"/>
      <c r="C405" s="8"/>
      <c r="D405" s="9"/>
      <c r="E405" s="13"/>
    </row>
    <row r="406" customFormat="false" ht="15" hidden="false" customHeight="true" outlineLevel="0" collapsed="false">
      <c r="A406" s="11"/>
      <c r="B406" s="8"/>
      <c r="C406" s="8"/>
      <c r="D406" s="9"/>
      <c r="E406" s="13"/>
    </row>
    <row r="407" customFormat="false" ht="15" hidden="false" customHeight="true" outlineLevel="0" collapsed="false">
      <c r="A407" s="11"/>
      <c r="B407" s="8"/>
      <c r="C407" s="8"/>
      <c r="D407" s="9"/>
      <c r="E407" s="13"/>
    </row>
    <row r="408" customFormat="false" ht="15" hidden="false" customHeight="true" outlineLevel="0" collapsed="false">
      <c r="A408" s="11"/>
      <c r="B408" s="8"/>
      <c r="C408" s="8"/>
      <c r="D408" s="9"/>
      <c r="E408" s="13"/>
    </row>
    <row r="409" customFormat="false" ht="15" hidden="false" customHeight="true" outlineLevel="0" collapsed="false">
      <c r="A409" s="11"/>
      <c r="B409" s="8"/>
      <c r="C409" s="8"/>
      <c r="D409" s="9"/>
      <c r="E409" s="13"/>
    </row>
    <row r="410" customFormat="false" ht="15" hidden="false" customHeight="true" outlineLevel="0" collapsed="false">
      <c r="A410" s="11"/>
      <c r="B410" s="8"/>
      <c r="C410" s="8"/>
      <c r="D410" s="9"/>
      <c r="E410" s="13"/>
    </row>
    <row r="411" customFormat="false" ht="15" hidden="false" customHeight="true" outlineLevel="0" collapsed="false">
      <c r="A411" s="11"/>
      <c r="B411" s="8"/>
      <c r="C411" s="8"/>
      <c r="D411" s="9"/>
      <c r="E411" s="13"/>
    </row>
    <row r="412" customFormat="false" ht="15" hidden="false" customHeight="true" outlineLevel="0" collapsed="false">
      <c r="A412" s="11"/>
      <c r="B412" s="8"/>
      <c r="C412" s="8"/>
      <c r="D412" s="9"/>
      <c r="E412" s="13"/>
    </row>
    <row r="413" customFormat="false" ht="15" hidden="false" customHeight="true" outlineLevel="0" collapsed="false">
      <c r="A413" s="11"/>
      <c r="B413" s="8"/>
      <c r="C413" s="8"/>
      <c r="D413" s="9"/>
      <c r="E413" s="13"/>
    </row>
    <row r="414" customFormat="false" ht="15" hidden="false" customHeight="true" outlineLevel="0" collapsed="false">
      <c r="A414" s="11"/>
      <c r="B414" s="8"/>
      <c r="C414" s="8"/>
      <c r="D414" s="9"/>
      <c r="E414" s="13"/>
    </row>
    <row r="415" customFormat="false" ht="15" hidden="false" customHeight="true" outlineLevel="0" collapsed="false">
      <c r="A415" s="11"/>
      <c r="B415" s="8"/>
      <c r="C415" s="8"/>
      <c r="D415" s="9"/>
      <c r="E415" s="13"/>
    </row>
    <row r="416" customFormat="false" ht="15" hidden="false" customHeight="true" outlineLevel="0" collapsed="false">
      <c r="A416" s="11"/>
      <c r="B416" s="8"/>
      <c r="C416" s="8"/>
      <c r="D416" s="9"/>
      <c r="E416" s="13"/>
    </row>
    <row r="417" customFormat="false" ht="15" hidden="false" customHeight="true" outlineLevel="0" collapsed="false">
      <c r="A417" s="11"/>
      <c r="B417" s="8"/>
      <c r="C417" s="8"/>
      <c r="D417" s="9"/>
      <c r="E417" s="13"/>
    </row>
    <row r="418" customFormat="false" ht="15" hidden="false" customHeight="true" outlineLevel="0" collapsed="false">
      <c r="A418" s="11"/>
      <c r="B418" s="8"/>
      <c r="C418" s="8"/>
      <c r="D418" s="9"/>
      <c r="E418" s="13"/>
    </row>
    <row r="419" customFormat="false" ht="15" hidden="false" customHeight="true" outlineLevel="0" collapsed="false">
      <c r="A419" s="11"/>
      <c r="B419" s="8"/>
      <c r="C419" s="8"/>
      <c r="D419" s="9"/>
      <c r="E419" s="13"/>
    </row>
    <row r="420" customFormat="false" ht="15" hidden="false" customHeight="true" outlineLevel="0" collapsed="false">
      <c r="A420" s="11"/>
      <c r="B420" s="8"/>
      <c r="C420" s="8"/>
      <c r="D420" s="9"/>
      <c r="E420" s="13"/>
    </row>
    <row r="421" customFormat="false" ht="15" hidden="false" customHeight="true" outlineLevel="0" collapsed="false">
      <c r="A421" s="11"/>
      <c r="B421" s="8"/>
      <c r="C421" s="8"/>
      <c r="D421" s="9"/>
      <c r="E421" s="13"/>
    </row>
    <row r="422" customFormat="false" ht="15" hidden="false" customHeight="true" outlineLevel="0" collapsed="false">
      <c r="A422" s="11"/>
      <c r="B422" s="8"/>
      <c r="C422" s="8"/>
      <c r="D422" s="9"/>
      <c r="E422" s="13"/>
    </row>
    <row r="423" customFormat="false" ht="15" hidden="false" customHeight="true" outlineLevel="0" collapsed="false">
      <c r="A423" s="11"/>
      <c r="B423" s="8"/>
      <c r="C423" s="8"/>
      <c r="D423" s="9"/>
      <c r="E423" s="13"/>
    </row>
    <row r="424" customFormat="false" ht="15" hidden="false" customHeight="true" outlineLevel="0" collapsed="false">
      <c r="A424" s="11"/>
      <c r="B424" s="8"/>
      <c r="C424" s="8"/>
      <c r="D424" s="9"/>
      <c r="E424" s="13"/>
    </row>
    <row r="425" customFormat="false" ht="15" hidden="false" customHeight="true" outlineLevel="0" collapsed="false">
      <c r="A425" s="11"/>
      <c r="B425" s="8"/>
      <c r="C425" s="8"/>
      <c r="D425" s="9"/>
      <c r="E425" s="13"/>
    </row>
    <row r="426" customFormat="false" ht="15" hidden="false" customHeight="true" outlineLevel="0" collapsed="false">
      <c r="A426" s="11"/>
      <c r="B426" s="8"/>
      <c r="C426" s="8"/>
      <c r="D426" s="9"/>
      <c r="E426" s="13"/>
    </row>
    <row r="427" customFormat="false" ht="15" hidden="false" customHeight="true" outlineLevel="0" collapsed="false">
      <c r="A427" s="11"/>
      <c r="B427" s="8"/>
      <c r="C427" s="8"/>
      <c r="D427" s="9"/>
      <c r="E427" s="13"/>
    </row>
    <row r="428" customFormat="false" ht="15" hidden="false" customHeight="true" outlineLevel="0" collapsed="false">
      <c r="A428" s="11"/>
      <c r="B428" s="8"/>
      <c r="C428" s="8"/>
      <c r="D428" s="9"/>
      <c r="E428" s="13"/>
    </row>
    <row r="429" customFormat="false" ht="15" hidden="false" customHeight="true" outlineLevel="0" collapsed="false">
      <c r="A429" s="11"/>
      <c r="B429" s="8"/>
      <c r="C429" s="8"/>
      <c r="D429" s="9"/>
      <c r="E429" s="13"/>
    </row>
    <row r="430" customFormat="false" ht="15" hidden="false" customHeight="true" outlineLevel="0" collapsed="false">
      <c r="A430" s="11"/>
      <c r="B430" s="8"/>
      <c r="C430" s="8"/>
      <c r="D430" s="9"/>
      <c r="E430" s="13"/>
    </row>
    <row r="431" customFormat="false" ht="15" hidden="false" customHeight="true" outlineLevel="0" collapsed="false">
      <c r="A431" s="11"/>
      <c r="B431" s="8"/>
      <c r="C431" s="8"/>
      <c r="D431" s="9"/>
      <c r="E431" s="13"/>
    </row>
    <row r="432" customFormat="false" ht="15" hidden="false" customHeight="true" outlineLevel="0" collapsed="false">
      <c r="A432" s="11"/>
      <c r="B432" s="8"/>
      <c r="C432" s="8"/>
      <c r="D432" s="9"/>
      <c r="E432" s="13"/>
    </row>
    <row r="433" customFormat="false" ht="15" hidden="false" customHeight="true" outlineLevel="0" collapsed="false">
      <c r="A433" s="11"/>
      <c r="B433" s="8"/>
      <c r="C433" s="8"/>
      <c r="D433" s="9"/>
      <c r="E433" s="13"/>
    </row>
    <row r="434" customFormat="false" ht="15" hidden="false" customHeight="true" outlineLevel="0" collapsed="false">
      <c r="A434" s="11"/>
      <c r="B434" s="8"/>
      <c r="C434" s="8"/>
      <c r="D434" s="9"/>
      <c r="E434" s="13"/>
    </row>
    <row r="435" customFormat="false" ht="15" hidden="false" customHeight="true" outlineLevel="0" collapsed="false">
      <c r="A435" s="11"/>
      <c r="B435" s="8"/>
      <c r="C435" s="8"/>
      <c r="D435" s="9"/>
      <c r="E435" s="13"/>
    </row>
    <row r="436" customFormat="false" ht="15" hidden="false" customHeight="true" outlineLevel="0" collapsed="false">
      <c r="A436" s="11"/>
      <c r="B436" s="8"/>
      <c r="C436" s="8"/>
      <c r="D436" s="9"/>
      <c r="E436" s="13"/>
    </row>
    <row r="437" customFormat="false" ht="15" hidden="false" customHeight="true" outlineLevel="0" collapsed="false">
      <c r="A437" s="11"/>
      <c r="B437" s="8"/>
      <c r="C437" s="8"/>
      <c r="D437" s="9"/>
      <c r="E437" s="13"/>
    </row>
    <row r="438" customFormat="false" ht="15" hidden="false" customHeight="true" outlineLevel="0" collapsed="false">
      <c r="A438" s="11"/>
      <c r="B438" s="8"/>
      <c r="C438" s="8"/>
      <c r="D438" s="9"/>
      <c r="E438" s="13"/>
    </row>
    <row r="439" customFormat="false" ht="15" hidden="false" customHeight="true" outlineLevel="0" collapsed="false">
      <c r="A439" s="11"/>
      <c r="B439" s="8"/>
      <c r="C439" s="8"/>
      <c r="D439" s="9"/>
      <c r="E439" s="13"/>
    </row>
    <row r="440" customFormat="false" ht="15" hidden="false" customHeight="true" outlineLevel="0" collapsed="false">
      <c r="A440" s="11"/>
      <c r="B440" s="8"/>
      <c r="C440" s="8"/>
      <c r="D440" s="9"/>
      <c r="E440" s="13"/>
    </row>
    <row r="441" customFormat="false" ht="15" hidden="false" customHeight="true" outlineLevel="0" collapsed="false">
      <c r="A441" s="11"/>
      <c r="B441" s="8"/>
      <c r="C441" s="8"/>
      <c r="D441" s="9"/>
      <c r="E441" s="13"/>
    </row>
    <row r="442" customFormat="false" ht="15" hidden="false" customHeight="true" outlineLevel="0" collapsed="false">
      <c r="A442" s="11"/>
      <c r="B442" s="8"/>
      <c r="C442" s="8"/>
      <c r="D442" s="9"/>
      <c r="E442" s="13"/>
    </row>
    <row r="443" customFormat="false" ht="15" hidden="false" customHeight="true" outlineLevel="0" collapsed="false">
      <c r="A443" s="11"/>
      <c r="B443" s="8"/>
      <c r="C443" s="8"/>
      <c r="D443" s="9"/>
      <c r="E443" s="13"/>
    </row>
    <row r="444" customFormat="false" ht="15" hidden="false" customHeight="true" outlineLevel="0" collapsed="false">
      <c r="A444" s="11"/>
      <c r="B444" s="8"/>
      <c r="C444" s="8"/>
      <c r="D444" s="9"/>
      <c r="E444" s="13"/>
    </row>
    <row r="445" customFormat="false" ht="15" hidden="false" customHeight="true" outlineLevel="0" collapsed="false">
      <c r="A445" s="11"/>
      <c r="B445" s="8"/>
      <c r="C445" s="8"/>
      <c r="D445" s="9"/>
      <c r="E445" s="13"/>
    </row>
    <row r="446" customFormat="false" ht="15" hidden="false" customHeight="true" outlineLevel="0" collapsed="false">
      <c r="A446" s="11"/>
      <c r="B446" s="8"/>
      <c r="C446" s="8"/>
      <c r="D446" s="9"/>
      <c r="E446" s="13"/>
    </row>
    <row r="447" customFormat="false" ht="15" hidden="false" customHeight="true" outlineLevel="0" collapsed="false">
      <c r="A447" s="11"/>
      <c r="B447" s="8"/>
      <c r="C447" s="8"/>
      <c r="D447" s="9"/>
      <c r="E447" s="13"/>
    </row>
    <row r="448" customFormat="false" ht="15" hidden="false" customHeight="true" outlineLevel="0" collapsed="false">
      <c r="A448" s="11"/>
      <c r="B448" s="8"/>
      <c r="C448" s="8"/>
      <c r="D448" s="9"/>
      <c r="E448" s="13"/>
    </row>
    <row r="449" customFormat="false" ht="15" hidden="false" customHeight="true" outlineLevel="0" collapsed="false">
      <c r="A449" s="11"/>
      <c r="B449" s="8"/>
      <c r="C449" s="8"/>
      <c r="D449" s="9"/>
      <c r="E449" s="13"/>
    </row>
    <row r="450" customFormat="false" ht="15" hidden="false" customHeight="true" outlineLevel="0" collapsed="false">
      <c r="A450" s="11"/>
      <c r="B450" s="8"/>
      <c r="C450" s="8"/>
      <c r="D450" s="9"/>
      <c r="E450" s="13"/>
    </row>
    <row r="451" customFormat="false" ht="15" hidden="false" customHeight="true" outlineLevel="0" collapsed="false">
      <c r="A451" s="11"/>
      <c r="B451" s="8"/>
      <c r="C451" s="8"/>
      <c r="D451" s="9"/>
      <c r="E451" s="13"/>
    </row>
    <row r="452" customFormat="false" ht="15" hidden="false" customHeight="true" outlineLevel="0" collapsed="false">
      <c r="A452" s="11"/>
      <c r="B452" s="8"/>
      <c r="C452" s="8"/>
      <c r="D452" s="9"/>
      <c r="E452" s="13"/>
    </row>
    <row r="453" customFormat="false" ht="15" hidden="false" customHeight="true" outlineLevel="0" collapsed="false">
      <c r="A453" s="11"/>
      <c r="B453" s="8"/>
      <c r="C453" s="8"/>
      <c r="D453" s="9"/>
      <c r="E453" s="13"/>
    </row>
    <row r="454" customFormat="false" ht="15" hidden="false" customHeight="true" outlineLevel="0" collapsed="false">
      <c r="A454" s="11"/>
      <c r="B454" s="8"/>
      <c r="C454" s="8"/>
      <c r="D454" s="9"/>
      <c r="E454" s="13"/>
    </row>
    <row r="455" customFormat="false" ht="15" hidden="false" customHeight="true" outlineLevel="0" collapsed="false">
      <c r="A455" s="11"/>
      <c r="B455" s="8"/>
      <c r="C455" s="8"/>
      <c r="D455" s="9"/>
      <c r="E455" s="13"/>
    </row>
    <row r="456" customFormat="false" ht="15" hidden="false" customHeight="true" outlineLevel="0" collapsed="false">
      <c r="A456" s="11"/>
      <c r="B456" s="8"/>
      <c r="C456" s="8"/>
      <c r="D456" s="9"/>
      <c r="E456" s="13"/>
    </row>
    <row r="457" customFormat="false" ht="15" hidden="false" customHeight="true" outlineLevel="0" collapsed="false">
      <c r="A457" s="11"/>
      <c r="B457" s="8"/>
      <c r="C457" s="8"/>
      <c r="D457" s="9"/>
      <c r="E457" s="13"/>
    </row>
    <row r="458" customFormat="false" ht="15" hidden="false" customHeight="true" outlineLevel="0" collapsed="false">
      <c r="A458" s="11"/>
      <c r="B458" s="8"/>
      <c r="C458" s="8"/>
      <c r="D458" s="9"/>
      <c r="E458" s="13"/>
    </row>
    <row r="459" customFormat="false" ht="15" hidden="false" customHeight="true" outlineLevel="0" collapsed="false">
      <c r="A459" s="11"/>
      <c r="B459" s="8"/>
      <c r="C459" s="8"/>
      <c r="D459" s="9"/>
      <c r="E459" s="13"/>
    </row>
    <row r="460" customFormat="false" ht="15" hidden="false" customHeight="true" outlineLevel="0" collapsed="false">
      <c r="A460" s="11"/>
      <c r="B460" s="8"/>
      <c r="C460" s="8"/>
      <c r="D460" s="9"/>
      <c r="E460" s="13"/>
    </row>
    <row r="461" customFormat="false" ht="15" hidden="false" customHeight="true" outlineLevel="0" collapsed="false">
      <c r="A461" s="11"/>
      <c r="B461" s="8"/>
      <c r="C461" s="8"/>
      <c r="D461" s="9"/>
      <c r="E461" s="13"/>
    </row>
    <row r="462" customFormat="false" ht="15" hidden="false" customHeight="true" outlineLevel="0" collapsed="false">
      <c r="A462" s="11"/>
      <c r="B462" s="8"/>
      <c r="C462" s="8"/>
      <c r="D462" s="9"/>
      <c r="E462" s="13"/>
    </row>
    <row r="463" customFormat="false" ht="15" hidden="false" customHeight="true" outlineLevel="0" collapsed="false">
      <c r="A463" s="11"/>
      <c r="B463" s="8"/>
      <c r="C463" s="8"/>
      <c r="D463" s="9"/>
      <c r="E463" s="13"/>
    </row>
    <row r="464" customFormat="false" ht="15" hidden="false" customHeight="true" outlineLevel="0" collapsed="false">
      <c r="A464" s="11"/>
      <c r="B464" s="8"/>
      <c r="C464" s="8"/>
      <c r="D464" s="9"/>
      <c r="E464" s="13"/>
    </row>
    <row r="465" customFormat="false" ht="15" hidden="false" customHeight="true" outlineLevel="0" collapsed="false">
      <c r="A465" s="11"/>
      <c r="B465" s="8"/>
      <c r="C465" s="8"/>
      <c r="D465" s="9"/>
      <c r="E465" s="13"/>
    </row>
    <row r="466" customFormat="false" ht="15" hidden="false" customHeight="true" outlineLevel="0" collapsed="false">
      <c r="A466" s="11"/>
      <c r="B466" s="8"/>
      <c r="C466" s="8"/>
      <c r="D466" s="9"/>
      <c r="E466" s="13"/>
    </row>
    <row r="467" customFormat="false" ht="15" hidden="false" customHeight="true" outlineLevel="0" collapsed="false">
      <c r="A467" s="11"/>
      <c r="B467" s="8"/>
      <c r="C467" s="8"/>
      <c r="D467" s="9"/>
      <c r="E467" s="13"/>
    </row>
    <row r="468" customFormat="false" ht="15" hidden="false" customHeight="true" outlineLevel="0" collapsed="false">
      <c r="A468" s="11"/>
      <c r="B468" s="8"/>
      <c r="C468" s="8"/>
      <c r="D468" s="9"/>
      <c r="E468" s="13"/>
    </row>
    <row r="469" customFormat="false" ht="15" hidden="false" customHeight="true" outlineLevel="0" collapsed="false">
      <c r="A469" s="11"/>
      <c r="B469" s="8"/>
      <c r="C469" s="8"/>
      <c r="D469" s="9"/>
      <c r="E469" s="13"/>
    </row>
    <row r="470" customFormat="false" ht="15" hidden="false" customHeight="true" outlineLevel="0" collapsed="false">
      <c r="A470" s="11"/>
      <c r="B470" s="8"/>
      <c r="C470" s="8"/>
      <c r="D470" s="9"/>
      <c r="E470" s="13"/>
    </row>
    <row r="471" customFormat="false" ht="15" hidden="false" customHeight="true" outlineLevel="0" collapsed="false">
      <c r="A471" s="11"/>
      <c r="B471" s="8"/>
      <c r="C471" s="8"/>
      <c r="D471" s="9"/>
      <c r="E471" s="13"/>
    </row>
    <row r="472" customFormat="false" ht="15" hidden="false" customHeight="true" outlineLevel="0" collapsed="false">
      <c r="A472" s="11"/>
      <c r="B472" s="8"/>
      <c r="C472" s="8"/>
      <c r="D472" s="9"/>
      <c r="E472" s="13"/>
    </row>
    <row r="473" customFormat="false" ht="15" hidden="false" customHeight="true" outlineLevel="0" collapsed="false">
      <c r="A473" s="11"/>
      <c r="B473" s="8"/>
      <c r="C473" s="8"/>
      <c r="D473" s="9"/>
      <c r="E473" s="13"/>
    </row>
    <row r="474" customFormat="false" ht="15" hidden="false" customHeight="true" outlineLevel="0" collapsed="false">
      <c r="A474" s="11"/>
      <c r="B474" s="8"/>
      <c r="C474" s="8"/>
      <c r="D474" s="9"/>
      <c r="E474" s="13"/>
    </row>
    <row r="475" customFormat="false" ht="15" hidden="false" customHeight="true" outlineLevel="0" collapsed="false">
      <c r="A475" s="11"/>
      <c r="B475" s="8"/>
      <c r="C475" s="8"/>
      <c r="D475" s="9"/>
      <c r="E475" s="13"/>
    </row>
    <row r="476" customFormat="false" ht="15" hidden="false" customHeight="true" outlineLevel="0" collapsed="false">
      <c r="A476" s="11"/>
      <c r="B476" s="8"/>
      <c r="C476" s="8"/>
      <c r="D476" s="9"/>
      <c r="E476" s="13"/>
    </row>
    <row r="477" customFormat="false" ht="15" hidden="false" customHeight="true" outlineLevel="0" collapsed="false">
      <c r="A477" s="11"/>
      <c r="B477" s="8"/>
      <c r="C477" s="8"/>
      <c r="D477" s="9"/>
      <c r="E477" s="13"/>
    </row>
    <row r="478" customFormat="false" ht="15" hidden="false" customHeight="true" outlineLevel="0" collapsed="false">
      <c r="A478" s="11"/>
      <c r="B478" s="8"/>
      <c r="C478" s="8"/>
      <c r="D478" s="9"/>
      <c r="E478" s="13"/>
    </row>
    <row r="479" customFormat="false" ht="15" hidden="false" customHeight="true" outlineLevel="0" collapsed="false">
      <c r="A479" s="11"/>
      <c r="B479" s="8"/>
      <c r="C479" s="8"/>
      <c r="D479" s="9"/>
      <c r="E479" s="13"/>
    </row>
    <row r="480" customFormat="false" ht="15" hidden="false" customHeight="true" outlineLevel="0" collapsed="false">
      <c r="A480" s="11"/>
      <c r="B480" s="8"/>
      <c r="C480" s="8"/>
      <c r="D480" s="9"/>
      <c r="E480" s="13"/>
    </row>
    <row r="481" customFormat="false" ht="15" hidden="false" customHeight="true" outlineLevel="0" collapsed="false">
      <c r="A481" s="11"/>
      <c r="B481" s="8"/>
      <c r="C481" s="8"/>
      <c r="D481" s="9"/>
      <c r="E481" s="13"/>
    </row>
    <row r="482" customFormat="false" ht="15" hidden="false" customHeight="true" outlineLevel="0" collapsed="false">
      <c r="A482" s="11"/>
      <c r="B482" s="8"/>
      <c r="C482" s="8"/>
      <c r="D482" s="9"/>
      <c r="E482" s="13"/>
    </row>
    <row r="483" customFormat="false" ht="15" hidden="false" customHeight="true" outlineLevel="0" collapsed="false">
      <c r="A483" s="11"/>
      <c r="B483" s="8"/>
      <c r="C483" s="8"/>
      <c r="D483" s="9"/>
      <c r="E483" s="13"/>
    </row>
    <row r="484" customFormat="false" ht="15" hidden="false" customHeight="true" outlineLevel="0" collapsed="false">
      <c r="A484" s="11"/>
      <c r="B484" s="8"/>
      <c r="C484" s="8"/>
      <c r="D484" s="9"/>
      <c r="E484" s="13"/>
    </row>
    <row r="485" customFormat="false" ht="15" hidden="false" customHeight="true" outlineLevel="0" collapsed="false">
      <c r="A485" s="11"/>
      <c r="B485" s="8"/>
      <c r="C485" s="8"/>
      <c r="D485" s="9"/>
      <c r="E485" s="13"/>
    </row>
    <row r="486" customFormat="false" ht="15" hidden="false" customHeight="true" outlineLevel="0" collapsed="false">
      <c r="A486" s="11"/>
      <c r="B486" s="8"/>
      <c r="C486" s="8"/>
      <c r="D486" s="9"/>
      <c r="E486" s="13"/>
    </row>
    <row r="487" customFormat="false" ht="15" hidden="false" customHeight="true" outlineLevel="0" collapsed="false">
      <c r="A487" s="11"/>
      <c r="B487" s="8"/>
      <c r="C487" s="8"/>
      <c r="D487" s="9"/>
      <c r="E487" s="13"/>
    </row>
    <row r="488" customFormat="false" ht="15" hidden="false" customHeight="true" outlineLevel="0" collapsed="false">
      <c r="A488" s="11"/>
      <c r="B488" s="8"/>
      <c r="C488" s="8"/>
      <c r="D488" s="9"/>
      <c r="E488" s="13"/>
    </row>
    <row r="489" customFormat="false" ht="15" hidden="false" customHeight="true" outlineLevel="0" collapsed="false">
      <c r="A489" s="11"/>
      <c r="B489" s="8"/>
      <c r="C489" s="8"/>
      <c r="D489" s="9"/>
      <c r="E489" s="13"/>
    </row>
    <row r="490" customFormat="false" ht="15" hidden="false" customHeight="true" outlineLevel="0" collapsed="false">
      <c r="A490" s="11"/>
      <c r="B490" s="8"/>
      <c r="C490" s="8"/>
      <c r="D490" s="9"/>
      <c r="E490" s="13"/>
    </row>
    <row r="491" customFormat="false" ht="15" hidden="false" customHeight="true" outlineLevel="0" collapsed="false">
      <c r="A491" s="11"/>
      <c r="B491" s="8"/>
      <c r="C491" s="8"/>
      <c r="D491" s="9"/>
      <c r="E491" s="13"/>
    </row>
    <row r="492" customFormat="false" ht="15" hidden="false" customHeight="true" outlineLevel="0" collapsed="false">
      <c r="A492" s="11"/>
      <c r="B492" s="8"/>
      <c r="C492" s="8"/>
      <c r="D492" s="9"/>
      <c r="E492" s="13"/>
    </row>
    <row r="493" customFormat="false" ht="15" hidden="false" customHeight="true" outlineLevel="0" collapsed="false">
      <c r="A493" s="11"/>
      <c r="B493" s="8"/>
      <c r="C493" s="8"/>
      <c r="D493" s="9"/>
      <c r="E493" s="13"/>
    </row>
    <row r="494" customFormat="false" ht="15" hidden="false" customHeight="true" outlineLevel="0" collapsed="false">
      <c r="A494" s="11"/>
      <c r="B494" s="8"/>
      <c r="C494" s="8"/>
      <c r="D494" s="9"/>
      <c r="E494" s="13"/>
    </row>
    <row r="495" customFormat="false" ht="15" hidden="false" customHeight="true" outlineLevel="0" collapsed="false">
      <c r="A495" s="11"/>
      <c r="B495" s="8"/>
      <c r="C495" s="8"/>
      <c r="D495" s="9"/>
      <c r="E495" s="13"/>
    </row>
    <row r="496" customFormat="false" ht="15" hidden="false" customHeight="true" outlineLevel="0" collapsed="false">
      <c r="A496" s="11"/>
      <c r="B496" s="8"/>
      <c r="C496" s="8"/>
      <c r="D496" s="9"/>
      <c r="E496" s="13"/>
    </row>
    <row r="497" customFormat="false" ht="15" hidden="false" customHeight="true" outlineLevel="0" collapsed="false">
      <c r="A497" s="11"/>
      <c r="B497" s="8"/>
      <c r="C497" s="8"/>
      <c r="D497" s="9"/>
      <c r="E497" s="13"/>
    </row>
    <row r="498" customFormat="false" ht="15" hidden="false" customHeight="true" outlineLevel="0" collapsed="false">
      <c r="A498" s="11"/>
      <c r="B498" s="8"/>
      <c r="C498" s="8"/>
      <c r="D498" s="9"/>
      <c r="E498" s="13"/>
    </row>
    <row r="499" customFormat="false" ht="15" hidden="false" customHeight="true" outlineLevel="0" collapsed="false">
      <c r="A499" s="11"/>
      <c r="B499" s="8"/>
      <c r="C499" s="8"/>
      <c r="D499" s="9"/>
      <c r="E499" s="13"/>
    </row>
    <row r="500" customFormat="false" ht="15" hidden="false" customHeight="true" outlineLevel="0" collapsed="false">
      <c r="A500" s="11"/>
      <c r="B500" s="8"/>
      <c r="C500" s="8"/>
      <c r="D500" s="9"/>
      <c r="E500" s="13"/>
    </row>
  </sheetData>
  <dataValidations count="1">
    <dataValidation allowBlank="true" errorStyle="stop" operator="between" showDropDown="false" showErrorMessage="false" showInputMessage="false" sqref="B2:B500" type="list">
      <formula1>"Rent,Salaries,Inventory/Stock,Utilities,Marketing,Transport,Maintenance,Other"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5" min="2" style="1" width="22"/>
    <col collapsed="false" customWidth="true" hidden="false" outlineLevel="0" max="6" min="6" style="1" width="18"/>
    <col collapsed="false" customWidth="true" hidden="false" outlineLevel="0" max="7" min="7" style="1" width="4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18"/>
  </cols>
  <sheetData>
    <row r="2" customFormat="false" ht="19.5" hidden="false" customHeight="true" outlineLevel="0" collapsed="false">
      <c r="B2" s="2" t="s">
        <v>46</v>
      </c>
      <c r="H2" s="4" t="s">
        <v>47</v>
      </c>
    </row>
    <row r="3" customFormat="false" ht="15" hidden="false" customHeight="true" outlineLevel="0" collapsed="false">
      <c r="B3" s="3" t="s">
        <v>48</v>
      </c>
      <c r="H3" s="3" t="str">
        <f aca="true">"Auto-updates for "&amp;TEXT(TODAY(),"DD-MMM-YYYY")</f>
        <v>Auto-updates for 03-Jul-2026</v>
      </c>
    </row>
    <row r="5" customFormat="false" ht="27.75" hidden="false" customHeight="true" outlineLevel="0" collapsed="false">
      <c r="B5" s="14" t="s">
        <v>49</v>
      </c>
      <c r="C5" s="15" t="n">
        <f aca="false">SUM('Sales Entry'!E2:E500)</f>
        <v>15000</v>
      </c>
      <c r="H5" s="10" t="s">
        <v>50</v>
      </c>
      <c r="I5" s="10" t="s">
        <v>51</v>
      </c>
      <c r="J5" s="10" t="s">
        <v>52</v>
      </c>
    </row>
    <row r="6" customFormat="false" ht="15.75" hidden="false" customHeight="true" outlineLevel="0" collapsed="false">
      <c r="B6" s="14" t="s">
        <v>53</v>
      </c>
      <c r="C6" s="15" t="n">
        <f aca="false">SUM('Expense Entry'!D2:D500)</f>
        <v>15600</v>
      </c>
      <c r="H6" s="16" t="str">
        <f aca="false">'Product List'!A2</f>
        <v>Notebook Set</v>
      </c>
      <c r="I6" s="16" t="n">
        <f aca="true">IF(H6="","",SUMIFS('Sales Entry'!$C$2:$C$500,'Sales Entry'!$B$2:$B$500,H6,'Sales Entry'!$A$2:$A$500,TODAY()))</f>
        <v>4</v>
      </c>
      <c r="J6" s="12" t="n">
        <f aca="true">IF(H6="","",SUMIFS('Sales Entry'!$E$2:$E$500,'Sales Entry'!$B$2:$B$500,H6,'Sales Entry'!$A$2:$A$500,TODAY()))</f>
        <v>600</v>
      </c>
    </row>
    <row r="7" customFormat="false" ht="15.75" hidden="false" customHeight="true" outlineLevel="0" collapsed="false">
      <c r="B7" s="14" t="s">
        <v>54</v>
      </c>
      <c r="C7" s="15" t="n">
        <f aca="false">C5-C6</f>
        <v>-600</v>
      </c>
      <c r="H7" s="16" t="str">
        <f aca="false">'Product List'!A3</f>
        <v>Water Bottle</v>
      </c>
      <c r="I7" s="16" t="n">
        <f aca="true">IF(H7="","",SUMIFS('Sales Entry'!$C$2:$C$500,'Sales Entry'!$B$2:$B$500,H7,'Sales Entry'!$A$2:$A$500,TODAY()))</f>
        <v>2</v>
      </c>
      <c r="J7" s="12" t="n">
        <f aca="true">IF(H7="","",SUMIFS('Sales Entry'!$E$2:$E$500,'Sales Entry'!$B$2:$B$500,H7,'Sales Entry'!$A$2:$A$500,TODAY()))</f>
        <v>500</v>
      </c>
    </row>
    <row r="8" customFormat="false" ht="15.75" hidden="false" customHeight="true" outlineLevel="0" collapsed="false">
      <c r="B8" s="14" t="s">
        <v>55</v>
      </c>
      <c r="C8" s="17" t="n">
        <f aca="false">IF(C5=0,0,C7/C5)</f>
        <v>-0.04</v>
      </c>
      <c r="H8" s="16" t="str">
        <f aca="false">'Product List'!A4</f>
        <v>Backpack</v>
      </c>
      <c r="I8" s="16" t="n">
        <f aca="true">IF(H8="","",SUMIFS('Sales Entry'!$C$2:$C$500,'Sales Entry'!$B$2:$B$500,H8,'Sales Entry'!$A$2:$A$500,TODAY()))</f>
        <v>2</v>
      </c>
      <c r="J8" s="12" t="n">
        <f aca="true">IF(H8="","",SUMIFS('Sales Entry'!$E$2:$E$500,'Sales Entry'!$B$2:$B$500,H8,'Sales Entry'!$A$2:$A$500,TODAY()))</f>
        <v>1800</v>
      </c>
    </row>
    <row r="9" customFormat="false" ht="15" hidden="false" customHeight="true" outlineLevel="0" collapsed="false">
      <c r="H9" s="16" t="str">
        <f aca="false">'Product List'!A5</f>
        <v>Pen Pack</v>
      </c>
      <c r="I9" s="16" t="n">
        <f aca="true">IF(H9="","",SUMIFS('Sales Entry'!$C$2:$C$500,'Sales Entry'!$B$2:$B$500,H9,'Sales Entry'!$A$2:$A$500,TODAY()))</f>
        <v>0</v>
      </c>
      <c r="J9" s="12" t="n">
        <f aca="true">IF(H9="","",SUMIFS('Sales Entry'!$E$2:$E$500,'Sales Entry'!$B$2:$B$500,H9,'Sales Entry'!$A$2:$A$500,TODAY()))</f>
        <v>0</v>
      </c>
    </row>
    <row r="10" customFormat="false" ht="15" hidden="false" customHeight="true" outlineLevel="0" collapsed="false">
      <c r="B10" s="18" t="s">
        <v>56</v>
      </c>
      <c r="H10" s="16" t="n">
        <f aca="false">'Product List'!A6</f>
        <v>0</v>
      </c>
      <c r="I10" s="16" t="str">
        <f aca="true">IF(H10="","",SUMIFS('Sales Entry'!$C$2:$C$500,'Sales Entry'!$B$2:$B$500,H10,'Sales Entry'!$A$2:$A$500,TODAY()))</f>
        <v/>
      </c>
      <c r="J10" s="12" t="str">
        <f aca="true">IF(H10="","",SUMIFS('Sales Entry'!$E$2:$E$500,'Sales Entry'!$B$2:$B$500,H10,'Sales Entry'!$A$2:$A$500,TODAY()))</f>
        <v/>
      </c>
    </row>
    <row r="11" customFormat="false" ht="15" hidden="false" customHeight="true" outlineLevel="0" collapsed="false">
      <c r="B11" s="19" t="str">
        <f aca="false">"Top Seller: "&amp;IFERROR(INDEX(H42:H71,MATCH(MAX(I42:I71),I42:I71,0)),"—")&amp;"  ("&amp;MAX(I42:I71)&amp;" units sold)"</f>
        <v>Top Seller: Notebook Set  (34 units sold)</v>
      </c>
      <c r="C11" s="19"/>
      <c r="D11" s="19"/>
      <c r="E11" s="19"/>
      <c r="H11" s="16" t="n">
        <f aca="false">'Product List'!A7</f>
        <v>0</v>
      </c>
      <c r="I11" s="16" t="str">
        <f aca="true">IF(H11="","",SUMIFS('Sales Entry'!$C$2:$C$500,'Sales Entry'!$B$2:$B$500,H11,'Sales Entry'!$A$2:$A$500,TODAY()))</f>
        <v/>
      </c>
      <c r="J11" s="12" t="str">
        <f aca="true">IF(H11="","",SUMIFS('Sales Entry'!$E$2:$E$500,'Sales Entry'!$B$2:$B$500,H11,'Sales Entry'!$A$2:$A$500,TODAY()))</f>
        <v/>
      </c>
    </row>
    <row r="12" customFormat="false" ht="15" hidden="false" customHeight="true" outlineLevel="0" collapsed="false">
      <c r="B12" s="20" t="str">
        <f aca="false">"Highest Expense: "&amp;IFERROR(INDEX(B14:B21,MATCH(MAX(C14:C21),C14:C21,0)),"—")&amp;"  (₹"&amp;TEXT(MAX(C14:C21),"#,##0")&amp;")"</f>
        <v>Highest Expense: Rent  (₹10,000)</v>
      </c>
      <c r="C12" s="20"/>
      <c r="D12" s="20"/>
      <c r="E12" s="20"/>
      <c r="F12" s="21"/>
      <c r="H12" s="16" t="n">
        <f aca="false">'Product List'!A8</f>
        <v>0</v>
      </c>
      <c r="I12" s="16" t="str">
        <f aca="true">IF(H12="","",SUMIFS('Sales Entry'!$C$2:$C$500,'Sales Entry'!$B$2:$B$500,H12,'Sales Entry'!$A$2:$A$500,TODAY()))</f>
        <v/>
      </c>
      <c r="J12" s="12" t="str">
        <f aca="true">IF(H12="","",SUMIFS('Sales Entry'!$E$2:$E$500,'Sales Entry'!$B$2:$B$500,H12,'Sales Entry'!$A$2:$A$500,TODAY()))</f>
        <v/>
      </c>
    </row>
    <row r="13" customFormat="false" ht="15" hidden="false" customHeight="true" outlineLevel="0" collapsed="false">
      <c r="B13" s="22" t="str">
        <f aca="false">"Status: "&amp;IF(C7&gt;0,"Profitable","Loss-making — review your expenses")</f>
        <v>Status: Loss-making — review your expenses</v>
      </c>
      <c r="C13" s="22"/>
      <c r="D13" s="22"/>
      <c r="E13" s="22"/>
      <c r="F13" s="12"/>
      <c r="H13" s="16" t="n">
        <f aca="false">'Product List'!A9</f>
        <v>0</v>
      </c>
      <c r="I13" s="16" t="str">
        <f aca="true">IF(H13="","",SUMIFS('Sales Entry'!$C$2:$C$500,'Sales Entry'!$B$2:$B$500,H13,'Sales Entry'!$A$2:$A$500,TODAY()))</f>
        <v/>
      </c>
      <c r="J13" s="12" t="str">
        <f aca="true">IF(H13="","",SUMIFS('Sales Entry'!$E$2:$E$500,'Sales Entry'!$B$2:$B$500,H13,'Sales Entry'!$A$2:$A$500,TODAY()))</f>
        <v/>
      </c>
    </row>
    <row r="14" customFormat="false" ht="15" hidden="false" customHeight="true" outlineLevel="0" collapsed="false">
      <c r="B14" s="23" t="s">
        <v>57</v>
      </c>
      <c r="C14" s="12"/>
      <c r="E14" s="23" t="s">
        <v>58</v>
      </c>
      <c r="F14" s="12"/>
      <c r="H14" s="16" t="n">
        <f aca="false">'Product List'!A10</f>
        <v>0</v>
      </c>
      <c r="I14" s="16" t="str">
        <f aca="true">IF(H14="","",SUMIFS('Sales Entry'!$C$2:$C$500,'Sales Entry'!$B$2:$B$500,H14,'Sales Entry'!$A$2:$A$500,TODAY()))</f>
        <v/>
      </c>
      <c r="J14" s="12" t="str">
        <f aca="true">IF(H14="","",SUMIFS('Sales Entry'!$E$2:$E$500,'Sales Entry'!$B$2:$B$500,H14,'Sales Entry'!$A$2:$A$500,TODAY()))</f>
        <v/>
      </c>
    </row>
    <row r="15" customFormat="false" ht="15" hidden="false" customHeight="true" outlineLevel="0" collapsed="false">
      <c r="B15" s="21" t="s">
        <v>33</v>
      </c>
      <c r="C15" s="24" t="s">
        <v>59</v>
      </c>
      <c r="E15" s="21" t="s">
        <v>60</v>
      </c>
      <c r="F15" s="24" t="s">
        <v>61</v>
      </c>
      <c r="H15" s="16" t="n">
        <f aca="false">'Product List'!A11</f>
        <v>0</v>
      </c>
      <c r="I15" s="16" t="str">
        <f aca="true">IF(H15="","",SUMIFS('Sales Entry'!$C$2:$C$500,'Sales Entry'!$B$2:$B$500,H15,'Sales Entry'!$A$2:$A$500,TODAY()))</f>
        <v/>
      </c>
      <c r="J15" s="12" t="str">
        <f aca="true">IF(H15="","",SUMIFS('Sales Entry'!$E$2:$E$500,'Sales Entry'!$B$2:$B$500,H15,'Sales Entry'!$A$2:$A$500,TODAY()))</f>
        <v/>
      </c>
    </row>
    <row r="16" customFormat="false" ht="15" hidden="false" customHeight="true" outlineLevel="0" collapsed="false">
      <c r="B16" s="25" t="s">
        <v>36</v>
      </c>
      <c r="C16" s="26" t="n">
        <f aca="false">SUMIF('Expense Entry'!$B$2:$B$500,B16,'Expense Entry'!$D$2:$D$500)</f>
        <v>10000</v>
      </c>
      <c r="E16" s="25" t="s">
        <v>62</v>
      </c>
      <c r="F16" s="26" t="n">
        <f aca="false">SUMPRODUCT(('Sales Entry'!$A$2:$A$500&lt;&gt;"")*(MONTH('Sales Entry'!$A$2:$A$500)=1)*'Sales Entry'!$C$2:$C$500*'Sales Entry'!$D$2:$D$500)</f>
        <v>0</v>
      </c>
      <c r="H16" s="16" t="n">
        <f aca="false">'Product List'!A12</f>
        <v>0</v>
      </c>
      <c r="I16" s="16" t="str">
        <f aca="true">IF(H16="","",SUMIFS('Sales Entry'!$C$2:$C$500,'Sales Entry'!$B$2:$B$500,H16,'Sales Entry'!$A$2:$A$500,TODAY()))</f>
        <v/>
      </c>
      <c r="J16" s="12" t="str">
        <f aca="true">IF(H16="","",SUMIFS('Sales Entry'!$E$2:$E$500,'Sales Entry'!$B$2:$B$500,H16,'Sales Entry'!$A$2:$A$500,TODAY()))</f>
        <v/>
      </c>
    </row>
    <row r="17" customFormat="false" ht="15" hidden="false" customHeight="true" outlineLevel="0" collapsed="false">
      <c r="B17" s="25" t="s">
        <v>63</v>
      </c>
      <c r="C17" s="26" t="n">
        <f aca="false">SUMIF('Expense Entry'!$B$2:$B$500,B17,'Expense Entry'!$D$2:$D$500)</f>
        <v>0</v>
      </c>
      <c r="E17" s="25" t="s">
        <v>64</v>
      </c>
      <c r="F17" s="26" t="n">
        <f aca="false">SUMPRODUCT(('Sales Entry'!$A$2:$A$500&lt;&gt;"")*(MONTH('Sales Entry'!$A$2:$A$500)=2)*'Sales Entry'!$C$2:$C$500*'Sales Entry'!$D$2:$D$500)</f>
        <v>0</v>
      </c>
      <c r="H17" s="16" t="n">
        <f aca="false">'Product List'!A13</f>
        <v>0</v>
      </c>
      <c r="I17" s="16" t="str">
        <f aca="true">IF(H17="","",SUMIFS('Sales Entry'!$C$2:$C$500,'Sales Entry'!$B$2:$B$500,H17,'Sales Entry'!$A$2:$A$500,TODAY()))</f>
        <v/>
      </c>
      <c r="J17" s="12" t="str">
        <f aca="true">IF(H17="","",SUMIFS('Sales Entry'!$E$2:$E$500,'Sales Entry'!$B$2:$B$500,H17,'Sales Entry'!$A$2:$A$500,TODAY()))</f>
        <v/>
      </c>
    </row>
    <row r="18" customFormat="false" ht="15" hidden="false" customHeight="true" outlineLevel="0" collapsed="false">
      <c r="B18" s="25" t="s">
        <v>38</v>
      </c>
      <c r="C18" s="26" t="n">
        <f aca="false">SUMIF('Expense Entry'!$B$2:$B$500,B18,'Expense Entry'!$D$2:$D$500)</f>
        <v>3000</v>
      </c>
      <c r="E18" s="25" t="s">
        <v>65</v>
      </c>
      <c r="F18" s="26" t="n">
        <f aca="false">SUMPRODUCT(('Sales Entry'!$A$2:$A$500&lt;&gt;"")*(MONTH('Sales Entry'!$A$2:$A$500)=3)*'Sales Entry'!$C$2:$C$500*'Sales Entry'!$D$2:$D$500)</f>
        <v>0</v>
      </c>
      <c r="H18" s="16" t="n">
        <f aca="false">'Product List'!A14</f>
        <v>0</v>
      </c>
      <c r="I18" s="16" t="str">
        <f aca="true">IF(H18="","",SUMIFS('Sales Entry'!$C$2:$C$500,'Sales Entry'!$B$2:$B$500,H18,'Sales Entry'!$A$2:$A$500,TODAY()))</f>
        <v/>
      </c>
      <c r="J18" s="12" t="str">
        <f aca="true">IF(H18="","",SUMIFS('Sales Entry'!$E$2:$E$500,'Sales Entry'!$B$2:$B$500,H18,'Sales Entry'!$A$2:$A$500,TODAY()))</f>
        <v/>
      </c>
    </row>
    <row r="19" customFormat="false" ht="15" hidden="false" customHeight="true" outlineLevel="0" collapsed="false">
      <c r="B19" s="25" t="s">
        <v>42</v>
      </c>
      <c r="C19" s="26" t="n">
        <f aca="false">SUMIF('Expense Entry'!$B$2:$B$500,B19,'Expense Entry'!$D$2:$D$500)</f>
        <v>1200</v>
      </c>
      <c r="E19" s="25" t="s">
        <v>66</v>
      </c>
      <c r="F19" s="26" t="n">
        <f aca="false">SUMPRODUCT(('Sales Entry'!$A$2:$A$500&lt;&gt;"")*(MONTH('Sales Entry'!$A$2:$A$500)=4)*'Sales Entry'!$C$2:$C$500*'Sales Entry'!$D$2:$D$500)</f>
        <v>0</v>
      </c>
      <c r="H19" s="16" t="n">
        <f aca="false">'Product List'!A15</f>
        <v>0</v>
      </c>
      <c r="I19" s="16" t="str">
        <f aca="true">IF(H19="","",SUMIFS('Sales Entry'!$C$2:$C$500,'Sales Entry'!$B$2:$B$500,H19,'Sales Entry'!$A$2:$A$500,TODAY()))</f>
        <v/>
      </c>
      <c r="J19" s="12" t="str">
        <f aca="true">IF(H19="","",SUMIFS('Sales Entry'!$E$2:$E$500,'Sales Entry'!$B$2:$B$500,H19,'Sales Entry'!$A$2:$A$500,TODAY()))</f>
        <v/>
      </c>
    </row>
    <row r="20" customFormat="false" ht="15" hidden="false" customHeight="true" outlineLevel="0" collapsed="false">
      <c r="B20" s="25" t="s">
        <v>40</v>
      </c>
      <c r="C20" s="26" t="n">
        <f aca="false">SUMIF('Expense Entry'!$B$2:$B$500,B20,'Expense Entry'!$D$2:$D$500)</f>
        <v>800</v>
      </c>
      <c r="E20" s="25" t="s">
        <v>67</v>
      </c>
      <c r="F20" s="26" t="n">
        <f aca="false">SUMPRODUCT(('Sales Entry'!$A$2:$A$500&lt;&gt;"")*(MONTH('Sales Entry'!$A$2:$A$500)=5)*'Sales Entry'!$C$2:$C$500*'Sales Entry'!$D$2:$D$500)</f>
        <v>0</v>
      </c>
      <c r="H20" s="16" t="n">
        <f aca="false">'Product List'!A16</f>
        <v>0</v>
      </c>
      <c r="I20" s="16" t="str">
        <f aca="true">IF(H20="","",SUMIFS('Sales Entry'!$C$2:$C$500,'Sales Entry'!$B$2:$B$500,H20,'Sales Entry'!$A$2:$A$500,TODAY()))</f>
        <v/>
      </c>
      <c r="J20" s="12" t="str">
        <f aca="true">IF(H20="","",SUMIFS('Sales Entry'!$E$2:$E$500,'Sales Entry'!$B$2:$B$500,H20,'Sales Entry'!$A$2:$A$500,TODAY()))</f>
        <v/>
      </c>
    </row>
    <row r="21" customFormat="false" ht="15" hidden="false" customHeight="true" outlineLevel="0" collapsed="false">
      <c r="B21" s="27" t="s">
        <v>44</v>
      </c>
      <c r="C21" s="28" t="n">
        <f aca="false">SUMIF('Expense Entry'!$B$2:$B$500,B21,'Expense Entry'!$D$2:$D$500)</f>
        <v>600</v>
      </c>
      <c r="E21" s="25" t="s">
        <v>68</v>
      </c>
      <c r="F21" s="26" t="n">
        <f aca="false">SUMPRODUCT(('Sales Entry'!$A$2:$A$500&lt;&gt;"")*(MONTH('Sales Entry'!$A$2:$A$500)=6)*'Sales Entry'!$C$2:$C$500*'Sales Entry'!$D$2:$D$500)</f>
        <v>7800</v>
      </c>
      <c r="H21" s="16" t="n">
        <f aca="false">'Product List'!A17</f>
        <v>0</v>
      </c>
      <c r="I21" s="16" t="str">
        <f aca="true">IF(H21="","",SUMIFS('Sales Entry'!$C$2:$C$500,'Sales Entry'!$B$2:$B$500,H21,'Sales Entry'!$A$2:$A$500,TODAY()))</f>
        <v/>
      </c>
      <c r="J21" s="12" t="str">
        <f aca="true">IF(H21="","",SUMIFS('Sales Entry'!$E$2:$E$500,'Sales Entry'!$B$2:$B$500,H21,'Sales Entry'!$A$2:$A$500,TODAY()))</f>
        <v/>
      </c>
    </row>
    <row r="22" customFormat="false" ht="15" hidden="false" customHeight="true" outlineLevel="0" collapsed="false">
      <c r="B22" s="27" t="s">
        <v>69</v>
      </c>
      <c r="C22" s="28" t="n">
        <f aca="false">SUMIF('Expense Entry'!$B$2:$B$500,B22,'Expense Entry'!$D$2:$D$500)</f>
        <v>0</v>
      </c>
      <c r="E22" s="25" t="s">
        <v>70</v>
      </c>
      <c r="F22" s="26" t="n">
        <f aca="false">SUMPRODUCT(('Sales Entry'!$A$2:$A$500&lt;&gt;"")*(MONTH('Sales Entry'!$A$2:$A$500)=7)*'Sales Entry'!$C$2:$C$500*'Sales Entry'!$D$2:$D$500)</f>
        <v>7200</v>
      </c>
      <c r="H22" s="16" t="n">
        <f aca="false">'Product List'!A18</f>
        <v>0</v>
      </c>
      <c r="I22" s="16" t="str">
        <f aca="true">IF(H22="","",SUMIFS('Sales Entry'!$C$2:$C$500,'Sales Entry'!$B$2:$B$500,H22,'Sales Entry'!$A$2:$A$500,TODAY()))</f>
        <v/>
      </c>
      <c r="J22" s="12" t="str">
        <f aca="true">IF(H22="","",SUMIFS('Sales Entry'!$E$2:$E$500,'Sales Entry'!$B$2:$B$500,H22,'Sales Entry'!$A$2:$A$500,TODAY()))</f>
        <v/>
      </c>
    </row>
    <row r="23" customFormat="false" ht="15" hidden="false" customHeight="true" outlineLevel="0" collapsed="false">
      <c r="B23" s="27" t="s">
        <v>71</v>
      </c>
      <c r="C23" s="28" t="n">
        <f aca="false">SUMIF('Expense Entry'!$B$2:$B$500,B23,'Expense Entry'!$D$2:$D$500)</f>
        <v>0</v>
      </c>
      <c r="E23" s="25" t="s">
        <v>72</v>
      </c>
      <c r="F23" s="26" t="n">
        <f aca="false">SUMPRODUCT(('Sales Entry'!$A$2:$A$500&lt;&gt;"")*(MONTH('Sales Entry'!$A$2:$A$500)=8)*'Sales Entry'!$C$2:$C$500*'Sales Entry'!$D$2:$D$500)</f>
        <v>0</v>
      </c>
      <c r="H23" s="16" t="n">
        <f aca="false">'Product List'!A19</f>
        <v>0</v>
      </c>
      <c r="I23" s="16" t="str">
        <f aca="true">IF(H23="","",SUMIFS('Sales Entry'!$C$2:$C$500,'Sales Entry'!$B$2:$B$500,H23,'Sales Entry'!$A$2:$A$500,TODAY()))</f>
        <v/>
      </c>
      <c r="J23" s="12" t="str">
        <f aca="true">IF(H23="","",SUMIFS('Sales Entry'!$E$2:$E$500,'Sales Entry'!$B$2:$B$500,H23,'Sales Entry'!$A$2:$A$500,TODAY()))</f>
        <v/>
      </c>
    </row>
    <row r="24" customFormat="false" ht="15" hidden="false" customHeight="true" outlineLevel="0" collapsed="false">
      <c r="E24" s="25" t="s">
        <v>73</v>
      </c>
      <c r="F24" s="26" t="n">
        <f aca="false">SUMPRODUCT(('Sales Entry'!$A$2:$A$500&lt;&gt;"")*(MONTH('Sales Entry'!$A$2:$A$500)=9)*'Sales Entry'!$C$2:$C$500*'Sales Entry'!$D$2:$D$500)</f>
        <v>0</v>
      </c>
      <c r="H24" s="16" t="n">
        <f aca="false">'Product List'!A20</f>
        <v>0</v>
      </c>
      <c r="I24" s="16" t="str">
        <f aca="true">IF(H24="","",SUMIFS('Sales Entry'!$C$2:$C$500,'Sales Entry'!$B$2:$B$500,H24,'Sales Entry'!$A$2:$A$500,TODAY()))</f>
        <v/>
      </c>
      <c r="J24" s="12" t="str">
        <f aca="true">IF(H24="","",SUMIFS('Sales Entry'!$E$2:$E$500,'Sales Entry'!$B$2:$B$500,H24,'Sales Entry'!$A$2:$A$500,TODAY()))</f>
        <v/>
      </c>
    </row>
    <row r="25" customFormat="false" ht="15" hidden="false" customHeight="true" outlineLevel="0" collapsed="false">
      <c r="E25" s="27" t="s">
        <v>74</v>
      </c>
      <c r="F25" s="28" t="n">
        <f aca="false">SUMPRODUCT(('Sales Entry'!$A$2:$A$500&lt;&gt;"")*(MONTH('Sales Entry'!$A$2:$A$500)=10)*'Sales Entry'!$C$2:$C$500*'Sales Entry'!$D$2:$D$500)</f>
        <v>0</v>
      </c>
      <c r="H25" s="16" t="n">
        <f aca="false">'Product List'!A21</f>
        <v>0</v>
      </c>
      <c r="I25" s="16" t="str">
        <f aca="true">IF(H25="","",SUMIFS('Sales Entry'!$C$2:$C$500,'Sales Entry'!$B$2:$B$500,H25,'Sales Entry'!$A$2:$A$500,TODAY()))</f>
        <v/>
      </c>
      <c r="J25" s="12" t="str">
        <f aca="true">IF(H25="","",SUMIFS('Sales Entry'!$E$2:$E$500,'Sales Entry'!$B$2:$B$500,H25,'Sales Entry'!$A$2:$A$500,TODAY()))</f>
        <v/>
      </c>
    </row>
    <row r="26" customFormat="false" ht="15" hidden="false" customHeight="true" outlineLevel="0" collapsed="false">
      <c r="E26" s="27" t="s">
        <v>75</v>
      </c>
      <c r="F26" s="28" t="n">
        <f aca="false">SUMPRODUCT(('Sales Entry'!$A$2:$A$500&lt;&gt;"")*(MONTH('Sales Entry'!$A$2:$A$500)=11)*'Sales Entry'!$C$2:$C$500*'Sales Entry'!$D$2:$D$500)</f>
        <v>0</v>
      </c>
      <c r="H26" s="16" t="n">
        <f aca="false">'Product List'!A22</f>
        <v>0</v>
      </c>
      <c r="I26" s="16" t="str">
        <f aca="true">IF(H26="","",SUMIFS('Sales Entry'!$C$2:$C$500,'Sales Entry'!$B$2:$B$500,H26,'Sales Entry'!$A$2:$A$500,TODAY()))</f>
        <v/>
      </c>
      <c r="J26" s="12" t="str">
        <f aca="true">IF(H26="","",SUMIFS('Sales Entry'!$E$2:$E$500,'Sales Entry'!$B$2:$B$500,H26,'Sales Entry'!$A$2:$A$500,TODAY()))</f>
        <v/>
      </c>
    </row>
    <row r="27" customFormat="false" ht="15" hidden="false" customHeight="true" outlineLevel="0" collapsed="false">
      <c r="E27" s="27" t="s">
        <v>76</v>
      </c>
      <c r="F27" s="28" t="n">
        <f aca="false">SUMPRODUCT(('Sales Entry'!$A$2:$A$500&lt;&gt;"")*(MONTH('Sales Entry'!$A$2:$A$500)=12)*'Sales Entry'!$C$2:$C$500*'Sales Entry'!$D$2:$D$500)</f>
        <v>0</v>
      </c>
      <c r="H27" s="16" t="n">
        <f aca="false">'Product List'!A23</f>
        <v>0</v>
      </c>
      <c r="I27" s="16" t="str">
        <f aca="true">IF(H27="","",SUMIFS('Sales Entry'!$C$2:$C$500,'Sales Entry'!$B$2:$B$500,H27,'Sales Entry'!$A$2:$A$500,TODAY()))</f>
        <v/>
      </c>
      <c r="J27" s="12" t="str">
        <f aca="true">IF(H27="","",SUMIFS('Sales Entry'!$E$2:$E$500,'Sales Entry'!$B$2:$B$500,H27,'Sales Entry'!$A$2:$A$500,TODAY()))</f>
        <v/>
      </c>
    </row>
    <row r="28" customFormat="false" ht="15" hidden="false" customHeight="true" outlineLevel="0" collapsed="false">
      <c r="H28" s="16" t="n">
        <f aca="false">'Product List'!A24</f>
        <v>0</v>
      </c>
      <c r="I28" s="16" t="str">
        <f aca="true">IF(H28="","",SUMIFS('Sales Entry'!$C$2:$C$500,'Sales Entry'!$B$2:$B$500,H28,'Sales Entry'!$A$2:$A$500,TODAY()))</f>
        <v/>
      </c>
      <c r="J28" s="12" t="str">
        <f aca="true">IF(H28="","",SUMIFS('Sales Entry'!$E$2:$E$500,'Sales Entry'!$B$2:$B$500,H28,'Sales Entry'!$A$2:$A$500,TODAY()))</f>
        <v/>
      </c>
    </row>
    <row r="29" customFormat="false" ht="15" hidden="false" customHeight="true" outlineLevel="0" collapsed="false">
      <c r="H29" s="16" t="n">
        <f aca="false">'Product List'!A25</f>
        <v>0</v>
      </c>
      <c r="I29" s="16" t="str">
        <f aca="true">IF(H29="","",SUMIFS('Sales Entry'!$C$2:$C$500,'Sales Entry'!$B$2:$B$500,H29,'Sales Entry'!$A$2:$A$500,TODAY()))</f>
        <v/>
      </c>
      <c r="J29" s="12" t="str">
        <f aca="true">IF(H29="","",SUMIFS('Sales Entry'!$E$2:$E$500,'Sales Entry'!$B$2:$B$500,H29,'Sales Entry'!$A$2:$A$500,TODAY()))</f>
        <v/>
      </c>
    </row>
    <row r="30" customFormat="false" ht="15" hidden="false" customHeight="true" outlineLevel="0" collapsed="false">
      <c r="H30" s="16" t="n">
        <f aca="false">'Product List'!A26</f>
        <v>0</v>
      </c>
      <c r="I30" s="16" t="str">
        <f aca="true">IF(H30="","",SUMIFS('Sales Entry'!$C$2:$C$500,'Sales Entry'!$B$2:$B$500,H30,'Sales Entry'!$A$2:$A$500,TODAY()))</f>
        <v/>
      </c>
      <c r="J30" s="12" t="str">
        <f aca="true">IF(H30="","",SUMIFS('Sales Entry'!$E$2:$E$500,'Sales Entry'!$B$2:$B$500,H30,'Sales Entry'!$A$2:$A$500,TODAY()))</f>
        <v/>
      </c>
    </row>
    <row r="31" customFormat="false" ht="15" hidden="false" customHeight="true" outlineLevel="0" collapsed="false">
      <c r="H31" s="16" t="n">
        <f aca="false">'Product List'!A27</f>
        <v>0</v>
      </c>
      <c r="I31" s="16" t="str">
        <f aca="true">IF(H31="","",SUMIFS('Sales Entry'!$C$2:$C$500,'Sales Entry'!$B$2:$B$500,H31,'Sales Entry'!$A$2:$A$500,TODAY()))</f>
        <v/>
      </c>
      <c r="J31" s="12" t="str">
        <f aca="true">IF(H31="","",SUMIFS('Sales Entry'!$E$2:$E$500,'Sales Entry'!$B$2:$B$500,H31,'Sales Entry'!$A$2:$A$500,TODAY()))</f>
        <v/>
      </c>
    </row>
    <row r="32" customFormat="false" ht="15" hidden="false" customHeight="true" outlineLevel="0" collapsed="false">
      <c r="H32" s="16" t="n">
        <f aca="false">'Product List'!A28</f>
        <v>0</v>
      </c>
      <c r="I32" s="16" t="str">
        <f aca="true">IF(H32="","",SUMIFS('Sales Entry'!$C$2:$C$500,'Sales Entry'!$B$2:$B$500,H32,'Sales Entry'!$A$2:$A$500,TODAY()))</f>
        <v/>
      </c>
      <c r="J32" s="12" t="str">
        <f aca="true">IF(H32="","",SUMIFS('Sales Entry'!$E$2:$E$500,'Sales Entry'!$B$2:$B$500,H32,'Sales Entry'!$A$2:$A$500,TODAY()))</f>
        <v/>
      </c>
    </row>
    <row r="33" customFormat="false" ht="15" hidden="false" customHeight="true" outlineLevel="0" collapsed="false">
      <c r="H33" s="16" t="n">
        <f aca="false">'Product List'!A29</f>
        <v>0</v>
      </c>
      <c r="I33" s="16" t="str">
        <f aca="true">IF(H33="","",SUMIFS('Sales Entry'!$C$2:$C$500,'Sales Entry'!$B$2:$B$500,H33,'Sales Entry'!$A$2:$A$500,TODAY()))</f>
        <v/>
      </c>
      <c r="J33" s="12" t="str">
        <f aca="true">IF(H33="","",SUMIFS('Sales Entry'!$E$2:$E$500,'Sales Entry'!$B$2:$B$500,H33,'Sales Entry'!$A$2:$A$500,TODAY()))</f>
        <v/>
      </c>
    </row>
    <row r="34" customFormat="false" ht="15" hidden="false" customHeight="true" outlineLevel="0" collapsed="false">
      <c r="H34" s="16" t="n">
        <f aca="false">'Product List'!A30</f>
        <v>0</v>
      </c>
      <c r="I34" s="16" t="str">
        <f aca="true">IF(H34="","",SUMIFS('Sales Entry'!$C$2:$C$500,'Sales Entry'!$B$2:$B$500,H34,'Sales Entry'!$A$2:$A$500,TODAY()))</f>
        <v/>
      </c>
      <c r="J34" s="12" t="str">
        <f aca="true">IF(H34="","",SUMIFS('Sales Entry'!$E$2:$E$500,'Sales Entry'!$B$2:$B$500,H34,'Sales Entry'!$A$2:$A$500,TODAY()))</f>
        <v/>
      </c>
    </row>
    <row r="35" customFormat="false" ht="15" hidden="false" customHeight="true" outlineLevel="0" collapsed="false">
      <c r="H35" s="16" t="n">
        <f aca="false">'Product List'!A31</f>
        <v>0</v>
      </c>
      <c r="I35" s="16" t="str">
        <f aca="true">IF(H35="","",SUMIFS('Sales Entry'!$C$2:$C$500,'Sales Entry'!$B$2:$B$500,H35,'Sales Entry'!$A$2:$A$500,TODAY()))</f>
        <v/>
      </c>
      <c r="J35" s="12" t="str">
        <f aca="true">IF(H35="","",SUMIFS('Sales Entry'!$E$2:$E$500,'Sales Entry'!$B$2:$B$500,H35,'Sales Entry'!$A$2:$A$500,TODAY()))</f>
        <v/>
      </c>
    </row>
    <row r="37" customFormat="false" ht="15" hidden="false" customHeight="true" outlineLevel="0" collapsed="false">
      <c r="H37" s="29" t="s">
        <v>77</v>
      </c>
      <c r="I37" s="30" t="n">
        <f aca="true">SUMIFS('Sales Entry'!$C$2:$C$500,'Sales Entry'!$A$2:$A$500,TODAY())</f>
        <v>8</v>
      </c>
      <c r="J37" s="31" t="n">
        <f aca="true">SUMIFS('Sales Entry'!$E$2:$E$500,'Sales Entry'!$A$2:$A$500,TODAY())</f>
        <v>2900</v>
      </c>
    </row>
    <row r="40" customFormat="false" ht="15" hidden="false" customHeight="true" outlineLevel="0" collapsed="false">
      <c r="H40" s="4" t="s">
        <v>78</v>
      </c>
    </row>
    <row r="41" customFormat="false" ht="27.75" hidden="false" customHeight="true" outlineLevel="0" collapsed="false">
      <c r="H41" s="10" t="s">
        <v>50</v>
      </c>
      <c r="I41" s="10" t="s">
        <v>79</v>
      </c>
      <c r="J41" s="10" t="s">
        <v>80</v>
      </c>
    </row>
    <row r="42" customFormat="false" ht="15" hidden="false" customHeight="true" outlineLevel="0" collapsed="false">
      <c r="H42" s="16" t="str">
        <f aca="false">'Product List'!A2</f>
        <v>Notebook Set</v>
      </c>
      <c r="I42" s="16" t="n">
        <f aca="false">IF(H42="","",SUMIF('Sales Entry'!$B$2:$B$500,H42,'Sales Entry'!$C$2:$C$500))</f>
        <v>34</v>
      </c>
      <c r="J42" s="12" t="n">
        <f aca="false">IF(H42="","",SUMIF('Sales Entry'!$B$2:$B$500,H42,'Sales Entry'!$E$2:$E$500))</f>
        <v>5100</v>
      </c>
    </row>
    <row r="43" customFormat="false" ht="15" hidden="false" customHeight="true" outlineLevel="0" collapsed="false">
      <c r="H43" s="16" t="str">
        <f aca="false">'Product List'!A3</f>
        <v>Water Bottle</v>
      </c>
      <c r="I43" s="16" t="n">
        <f aca="false">IF(H43="","",SUMIF('Sales Entry'!$B$2:$B$500,H43,'Sales Entry'!$C$2:$C$500))</f>
        <v>18</v>
      </c>
      <c r="J43" s="12" t="n">
        <f aca="false">IF(H43="","",SUMIF('Sales Entry'!$B$2:$B$500,H43,'Sales Entry'!$E$2:$E$500))</f>
        <v>4500</v>
      </c>
    </row>
    <row r="44" customFormat="false" ht="15" hidden="false" customHeight="true" outlineLevel="0" collapsed="false">
      <c r="H44" s="16" t="str">
        <f aca="false">'Product List'!A4</f>
        <v>Backpack</v>
      </c>
      <c r="I44" s="16" t="n">
        <f aca="false">IF(H44="","",SUMIF('Sales Entry'!$B$2:$B$500,H44,'Sales Entry'!$C$2:$C$500))</f>
        <v>5</v>
      </c>
      <c r="J44" s="12" t="n">
        <f aca="false">IF(H44="","",SUMIF('Sales Entry'!$B$2:$B$500,H44,'Sales Entry'!$E$2:$E$500))</f>
        <v>4500</v>
      </c>
    </row>
    <row r="45" customFormat="false" ht="15" hidden="false" customHeight="true" outlineLevel="0" collapsed="false">
      <c r="H45" s="16" t="str">
        <f aca="false">'Product List'!A5</f>
        <v>Pen Pack</v>
      </c>
      <c r="I45" s="16" t="n">
        <f aca="false">IF(H45="","",SUMIF('Sales Entry'!$B$2:$B$500,H45,'Sales Entry'!$C$2:$C$500))</f>
        <v>15</v>
      </c>
      <c r="J45" s="12" t="n">
        <f aca="false">IF(H45="","",SUMIF('Sales Entry'!$B$2:$B$500,H45,'Sales Entry'!$E$2:$E$500))</f>
        <v>900</v>
      </c>
    </row>
    <row r="46" customFormat="false" ht="15" hidden="false" customHeight="true" outlineLevel="0" collapsed="false">
      <c r="H46" s="16" t="n">
        <f aca="false">'Product List'!A6</f>
        <v>0</v>
      </c>
      <c r="I46" s="16" t="str">
        <f aca="false">IF(H46="","",SUMIF('Sales Entry'!$B$2:$B$500,H46,'Sales Entry'!$C$2:$C$500))</f>
        <v/>
      </c>
      <c r="J46" s="12" t="str">
        <f aca="false">IF(H46="","",SUMIF('Sales Entry'!$B$2:$B$500,H46,'Sales Entry'!$E$2:$E$500))</f>
        <v/>
      </c>
    </row>
    <row r="47" customFormat="false" ht="15" hidden="false" customHeight="true" outlineLevel="0" collapsed="false">
      <c r="H47" s="16" t="n">
        <f aca="false">'Product List'!A7</f>
        <v>0</v>
      </c>
      <c r="I47" s="16" t="str">
        <f aca="false">IF(H47="","",SUMIF('Sales Entry'!$B$2:$B$500,H47,'Sales Entry'!$C$2:$C$500))</f>
        <v/>
      </c>
      <c r="J47" s="12" t="str">
        <f aca="false">IF(H47="","",SUMIF('Sales Entry'!$B$2:$B$500,H47,'Sales Entry'!$E$2:$E$500))</f>
        <v/>
      </c>
    </row>
    <row r="48" customFormat="false" ht="15" hidden="false" customHeight="true" outlineLevel="0" collapsed="false">
      <c r="H48" s="16" t="n">
        <f aca="false">'Product List'!A8</f>
        <v>0</v>
      </c>
      <c r="I48" s="16" t="str">
        <f aca="false">IF(H48="","",SUMIF('Sales Entry'!$B$2:$B$500,H48,'Sales Entry'!$C$2:$C$500))</f>
        <v/>
      </c>
      <c r="J48" s="12" t="str">
        <f aca="false">IF(H48="","",SUMIF('Sales Entry'!$B$2:$B$500,H48,'Sales Entry'!$E$2:$E$500))</f>
        <v/>
      </c>
    </row>
    <row r="49" customFormat="false" ht="15" hidden="false" customHeight="true" outlineLevel="0" collapsed="false">
      <c r="H49" s="16" t="n">
        <f aca="false">'Product List'!A9</f>
        <v>0</v>
      </c>
      <c r="I49" s="16" t="str">
        <f aca="false">IF(H49="","",SUMIF('Sales Entry'!$B$2:$B$500,H49,'Sales Entry'!$C$2:$C$500))</f>
        <v/>
      </c>
      <c r="J49" s="12" t="str">
        <f aca="false">IF(H49="","",SUMIF('Sales Entry'!$B$2:$B$500,H49,'Sales Entry'!$E$2:$E$500))</f>
        <v/>
      </c>
    </row>
    <row r="50" customFormat="false" ht="15" hidden="false" customHeight="true" outlineLevel="0" collapsed="false">
      <c r="H50" s="16" t="n">
        <f aca="false">'Product List'!A10</f>
        <v>0</v>
      </c>
      <c r="I50" s="16" t="str">
        <f aca="false">IF(H50="","",SUMIF('Sales Entry'!$B$2:$B$500,H50,'Sales Entry'!$C$2:$C$500))</f>
        <v/>
      </c>
      <c r="J50" s="12" t="str">
        <f aca="false">IF(H50="","",SUMIF('Sales Entry'!$B$2:$B$500,H50,'Sales Entry'!$E$2:$E$500))</f>
        <v/>
      </c>
    </row>
    <row r="51" customFormat="false" ht="15" hidden="false" customHeight="true" outlineLevel="0" collapsed="false">
      <c r="H51" s="16" t="n">
        <f aca="false">'Product List'!A11</f>
        <v>0</v>
      </c>
      <c r="I51" s="16" t="str">
        <f aca="false">IF(H51="","",SUMIF('Sales Entry'!$B$2:$B$500,H51,'Sales Entry'!$C$2:$C$500))</f>
        <v/>
      </c>
      <c r="J51" s="12" t="str">
        <f aca="false">IF(H51="","",SUMIF('Sales Entry'!$B$2:$B$500,H51,'Sales Entry'!$E$2:$E$500))</f>
        <v/>
      </c>
    </row>
    <row r="52" customFormat="false" ht="15" hidden="false" customHeight="true" outlineLevel="0" collapsed="false">
      <c r="H52" s="16" t="n">
        <f aca="false">'Product List'!A12</f>
        <v>0</v>
      </c>
      <c r="I52" s="16" t="str">
        <f aca="false">IF(H52="","",SUMIF('Sales Entry'!$B$2:$B$500,H52,'Sales Entry'!$C$2:$C$500))</f>
        <v/>
      </c>
      <c r="J52" s="12" t="str">
        <f aca="false">IF(H52="","",SUMIF('Sales Entry'!$B$2:$B$500,H52,'Sales Entry'!$E$2:$E$500))</f>
        <v/>
      </c>
    </row>
    <row r="53" customFormat="false" ht="15" hidden="false" customHeight="true" outlineLevel="0" collapsed="false">
      <c r="H53" s="16" t="n">
        <f aca="false">'Product List'!A13</f>
        <v>0</v>
      </c>
      <c r="I53" s="16" t="str">
        <f aca="false">IF(H53="","",SUMIF('Sales Entry'!$B$2:$B$500,H53,'Sales Entry'!$C$2:$C$500))</f>
        <v/>
      </c>
      <c r="J53" s="12" t="str">
        <f aca="false">IF(H53="","",SUMIF('Sales Entry'!$B$2:$B$500,H53,'Sales Entry'!$E$2:$E$500))</f>
        <v/>
      </c>
    </row>
    <row r="54" customFormat="false" ht="15" hidden="false" customHeight="true" outlineLevel="0" collapsed="false">
      <c r="H54" s="16" t="n">
        <f aca="false">'Product List'!A14</f>
        <v>0</v>
      </c>
      <c r="I54" s="16" t="str">
        <f aca="false">IF(H54="","",SUMIF('Sales Entry'!$B$2:$B$500,H54,'Sales Entry'!$C$2:$C$500))</f>
        <v/>
      </c>
      <c r="J54" s="12" t="str">
        <f aca="false">IF(H54="","",SUMIF('Sales Entry'!$B$2:$B$500,H54,'Sales Entry'!$E$2:$E$500))</f>
        <v/>
      </c>
    </row>
    <row r="55" customFormat="false" ht="15" hidden="false" customHeight="true" outlineLevel="0" collapsed="false">
      <c r="H55" s="16" t="n">
        <f aca="false">'Product List'!A15</f>
        <v>0</v>
      </c>
      <c r="I55" s="16" t="str">
        <f aca="false">IF(H55="","",SUMIF('Sales Entry'!$B$2:$B$500,H55,'Sales Entry'!$C$2:$C$500))</f>
        <v/>
      </c>
      <c r="J55" s="12" t="str">
        <f aca="false">IF(H55="","",SUMIF('Sales Entry'!$B$2:$B$500,H55,'Sales Entry'!$E$2:$E$500))</f>
        <v/>
      </c>
    </row>
    <row r="56" customFormat="false" ht="15" hidden="false" customHeight="true" outlineLevel="0" collapsed="false">
      <c r="H56" s="16" t="n">
        <f aca="false">'Product List'!A16</f>
        <v>0</v>
      </c>
      <c r="I56" s="16" t="str">
        <f aca="false">IF(H56="","",SUMIF('Sales Entry'!$B$2:$B$500,H56,'Sales Entry'!$C$2:$C$500))</f>
        <v/>
      </c>
      <c r="J56" s="12" t="str">
        <f aca="false">IF(H56="","",SUMIF('Sales Entry'!$B$2:$B$500,H56,'Sales Entry'!$E$2:$E$500))</f>
        <v/>
      </c>
    </row>
    <row r="57" customFormat="false" ht="15" hidden="false" customHeight="true" outlineLevel="0" collapsed="false">
      <c r="H57" s="16" t="n">
        <f aca="false">'Product List'!A17</f>
        <v>0</v>
      </c>
      <c r="I57" s="16" t="str">
        <f aca="false">IF(H57="","",SUMIF('Sales Entry'!$B$2:$B$500,H57,'Sales Entry'!$C$2:$C$500))</f>
        <v/>
      </c>
      <c r="J57" s="12" t="str">
        <f aca="false">IF(H57="","",SUMIF('Sales Entry'!$B$2:$B$500,H57,'Sales Entry'!$E$2:$E$500))</f>
        <v/>
      </c>
    </row>
    <row r="58" customFormat="false" ht="15" hidden="false" customHeight="true" outlineLevel="0" collapsed="false">
      <c r="H58" s="16" t="n">
        <f aca="false">'Product List'!A18</f>
        <v>0</v>
      </c>
      <c r="I58" s="16" t="str">
        <f aca="false">IF(H58="","",SUMIF('Sales Entry'!$B$2:$B$500,H58,'Sales Entry'!$C$2:$C$500))</f>
        <v/>
      </c>
      <c r="J58" s="12" t="str">
        <f aca="false">IF(H58="","",SUMIF('Sales Entry'!$B$2:$B$500,H58,'Sales Entry'!$E$2:$E$500))</f>
        <v/>
      </c>
    </row>
    <row r="59" customFormat="false" ht="15" hidden="false" customHeight="true" outlineLevel="0" collapsed="false">
      <c r="H59" s="16" t="n">
        <f aca="false">'Product List'!A19</f>
        <v>0</v>
      </c>
      <c r="I59" s="16" t="str">
        <f aca="false">IF(H59="","",SUMIF('Sales Entry'!$B$2:$B$500,H59,'Sales Entry'!$C$2:$C$500))</f>
        <v/>
      </c>
      <c r="J59" s="12" t="str">
        <f aca="false">IF(H59="","",SUMIF('Sales Entry'!$B$2:$B$500,H59,'Sales Entry'!$E$2:$E$500))</f>
        <v/>
      </c>
    </row>
    <row r="60" customFormat="false" ht="15" hidden="false" customHeight="true" outlineLevel="0" collapsed="false">
      <c r="H60" s="16" t="n">
        <f aca="false">'Product List'!A20</f>
        <v>0</v>
      </c>
      <c r="I60" s="16" t="str">
        <f aca="false">IF(H60="","",SUMIF('Sales Entry'!$B$2:$B$500,H60,'Sales Entry'!$C$2:$C$500))</f>
        <v/>
      </c>
      <c r="J60" s="12" t="str">
        <f aca="false">IF(H60="","",SUMIF('Sales Entry'!$B$2:$B$500,H60,'Sales Entry'!$E$2:$E$500))</f>
        <v/>
      </c>
    </row>
    <row r="61" customFormat="false" ht="15" hidden="false" customHeight="true" outlineLevel="0" collapsed="false">
      <c r="H61" s="16" t="n">
        <f aca="false">'Product List'!A21</f>
        <v>0</v>
      </c>
      <c r="I61" s="16" t="str">
        <f aca="false">IF(H61="","",SUMIF('Sales Entry'!$B$2:$B$500,H61,'Sales Entry'!$C$2:$C$500))</f>
        <v/>
      </c>
      <c r="J61" s="12" t="str">
        <f aca="false">IF(H61="","",SUMIF('Sales Entry'!$B$2:$B$500,H61,'Sales Entry'!$E$2:$E$500))</f>
        <v/>
      </c>
    </row>
    <row r="62" customFormat="false" ht="15" hidden="false" customHeight="true" outlineLevel="0" collapsed="false">
      <c r="H62" s="16" t="n">
        <f aca="false">'Product List'!A22</f>
        <v>0</v>
      </c>
      <c r="I62" s="16" t="str">
        <f aca="false">IF(H62="","",SUMIF('Sales Entry'!$B$2:$B$500,H62,'Sales Entry'!$C$2:$C$500))</f>
        <v/>
      </c>
      <c r="J62" s="12" t="str">
        <f aca="false">IF(H62="","",SUMIF('Sales Entry'!$B$2:$B$500,H62,'Sales Entry'!$E$2:$E$500))</f>
        <v/>
      </c>
    </row>
    <row r="63" customFormat="false" ht="15" hidden="false" customHeight="true" outlineLevel="0" collapsed="false">
      <c r="H63" s="16" t="n">
        <f aca="false">'Product List'!A23</f>
        <v>0</v>
      </c>
      <c r="I63" s="16" t="str">
        <f aca="false">IF(H63="","",SUMIF('Sales Entry'!$B$2:$B$500,H63,'Sales Entry'!$C$2:$C$500))</f>
        <v/>
      </c>
      <c r="J63" s="12" t="str">
        <f aca="false">IF(H63="","",SUMIF('Sales Entry'!$B$2:$B$500,H63,'Sales Entry'!$E$2:$E$500))</f>
        <v/>
      </c>
    </row>
    <row r="64" customFormat="false" ht="15" hidden="false" customHeight="true" outlineLevel="0" collapsed="false">
      <c r="H64" s="16" t="n">
        <f aca="false">'Product List'!A24</f>
        <v>0</v>
      </c>
      <c r="I64" s="16" t="str">
        <f aca="false">IF(H64="","",SUMIF('Sales Entry'!$B$2:$B$500,H64,'Sales Entry'!$C$2:$C$500))</f>
        <v/>
      </c>
      <c r="J64" s="12" t="str">
        <f aca="false">IF(H64="","",SUMIF('Sales Entry'!$B$2:$B$500,H64,'Sales Entry'!$E$2:$E$500))</f>
        <v/>
      </c>
    </row>
    <row r="65" customFormat="false" ht="15" hidden="false" customHeight="true" outlineLevel="0" collapsed="false">
      <c r="H65" s="16" t="n">
        <f aca="false">'Product List'!A25</f>
        <v>0</v>
      </c>
      <c r="I65" s="16" t="str">
        <f aca="false">IF(H65="","",SUMIF('Sales Entry'!$B$2:$B$500,H65,'Sales Entry'!$C$2:$C$500))</f>
        <v/>
      </c>
      <c r="J65" s="12" t="str">
        <f aca="false">IF(H65="","",SUMIF('Sales Entry'!$B$2:$B$500,H65,'Sales Entry'!$E$2:$E$500))</f>
        <v/>
      </c>
    </row>
    <row r="66" customFormat="false" ht="15" hidden="false" customHeight="true" outlineLevel="0" collapsed="false">
      <c r="H66" s="16" t="n">
        <f aca="false">'Product List'!A26</f>
        <v>0</v>
      </c>
      <c r="I66" s="16" t="str">
        <f aca="false">IF(H66="","",SUMIF('Sales Entry'!$B$2:$B$500,H66,'Sales Entry'!$C$2:$C$500))</f>
        <v/>
      </c>
      <c r="J66" s="12" t="str">
        <f aca="false">IF(H66="","",SUMIF('Sales Entry'!$B$2:$B$500,H66,'Sales Entry'!$E$2:$E$500))</f>
        <v/>
      </c>
    </row>
    <row r="67" customFormat="false" ht="15" hidden="false" customHeight="true" outlineLevel="0" collapsed="false">
      <c r="H67" s="16" t="n">
        <f aca="false">'Product List'!A27</f>
        <v>0</v>
      </c>
      <c r="I67" s="16" t="str">
        <f aca="false">IF(H67="","",SUMIF('Sales Entry'!$B$2:$B$500,H67,'Sales Entry'!$C$2:$C$500))</f>
        <v/>
      </c>
      <c r="J67" s="12" t="str">
        <f aca="false">IF(H67="","",SUMIF('Sales Entry'!$B$2:$B$500,H67,'Sales Entry'!$E$2:$E$500))</f>
        <v/>
      </c>
    </row>
    <row r="68" customFormat="false" ht="15" hidden="false" customHeight="true" outlineLevel="0" collapsed="false">
      <c r="H68" s="16" t="n">
        <f aca="false">'Product List'!A28</f>
        <v>0</v>
      </c>
      <c r="I68" s="16" t="str">
        <f aca="false">IF(H68="","",SUMIF('Sales Entry'!$B$2:$B$500,H68,'Sales Entry'!$C$2:$C$500))</f>
        <v/>
      </c>
      <c r="J68" s="12" t="str">
        <f aca="false">IF(H68="","",SUMIF('Sales Entry'!$B$2:$B$500,H68,'Sales Entry'!$E$2:$E$500))</f>
        <v/>
      </c>
    </row>
    <row r="69" customFormat="false" ht="15" hidden="false" customHeight="true" outlineLevel="0" collapsed="false">
      <c r="H69" s="16" t="n">
        <f aca="false">'Product List'!A29</f>
        <v>0</v>
      </c>
      <c r="I69" s="16" t="str">
        <f aca="false">IF(H69="","",SUMIF('Sales Entry'!$B$2:$B$500,H69,'Sales Entry'!$C$2:$C$500))</f>
        <v/>
      </c>
      <c r="J69" s="12" t="str">
        <f aca="false">IF(H69="","",SUMIF('Sales Entry'!$B$2:$B$500,H69,'Sales Entry'!$E$2:$E$500))</f>
        <v/>
      </c>
    </row>
    <row r="70" customFormat="false" ht="15" hidden="false" customHeight="true" outlineLevel="0" collapsed="false">
      <c r="H70" s="16" t="n">
        <f aca="false">'Product List'!A30</f>
        <v>0</v>
      </c>
      <c r="I70" s="16" t="str">
        <f aca="false">IF(H70="","",SUMIF('Sales Entry'!$B$2:$B$500,H70,'Sales Entry'!$C$2:$C$500))</f>
        <v/>
      </c>
      <c r="J70" s="12" t="str">
        <f aca="false">IF(H70="","",SUMIF('Sales Entry'!$B$2:$B$500,H70,'Sales Entry'!$E$2:$E$500))</f>
        <v/>
      </c>
    </row>
    <row r="71" customFormat="false" ht="15" hidden="false" customHeight="true" outlineLevel="0" collapsed="false">
      <c r="H71" s="16" t="n">
        <f aca="false">'Product List'!A31</f>
        <v>0</v>
      </c>
      <c r="I71" s="16" t="str">
        <f aca="false">IF(H71="","",SUMIF('Sales Entry'!$B$2:$B$500,H71,'Sales Entry'!$C$2:$C$500))</f>
        <v/>
      </c>
      <c r="J71" s="12" t="str">
        <f aca="false">IF(H71="","",SUMIF('Sales Entry'!$B$2:$B$500,H71,'Sales Entry'!$E$2:$E$500))</f>
        <v/>
      </c>
    </row>
  </sheetData>
  <mergeCells count="3">
    <mergeCell ref="B11:E11"/>
    <mergeCell ref="B12:E12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2026-07-03T17:54:58Z</dcterms:created>
  <dc:creator>openpyxl</dc:creator>
  <dc:description/>
  <dc:language>en-US</dc:language>
  <cp:lastModifiedBy/>
  <dcterms:modified xsi:type="dcterms:W3CDTF">2026-07-03T18:40:12Z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